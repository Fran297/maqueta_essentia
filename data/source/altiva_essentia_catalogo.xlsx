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ductos" sheetId="1" state="visible" r:id="rId3"/>
    <sheet name="Casas" sheetId="2" state="visible" r:id="rId4"/>
    <sheet name="Info" sheetId="3" state="visible" r:id="rId5"/>
  </sheets>
  <definedNames>
    <definedName function="false" hidden="true" localSheetId="0" name="_xlnm._FilterDatabase" vbProcedure="false">Productos!$A$1:$P$148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<sst xmlns="http://schemas.openxmlformats.org/spreadsheetml/2006/main" count="1863" uniqueCount="690">
  <si>
    <t xml:space="preserve">N°</t>
  </si>
  <si>
    <t xml:space="preserve">Casa</t>
  </si>
  <si>
    <t xml:space="preserve">Producto</t>
  </si>
  <si>
    <t xml:space="preserve">Destacado</t>
  </si>
  <si>
    <t xml:space="preserve">Familia olfativa</t>
  </si>
  <si>
    <t xml:space="preserve">Género</t>
  </si>
  <si>
    <t xml:space="preserve">Notas olfativas</t>
  </si>
  <si>
    <t xml:space="preserve">Presentación</t>
  </si>
  <si>
    <t xml:space="preserve">Tipo</t>
  </si>
  <si>
    <t xml:space="preserve">Volumen (ml)</t>
  </si>
  <si>
    <t xml:space="preserve">Año de lanzamiento</t>
  </si>
  <si>
    <t xml:space="preserve">Duración estimada</t>
  </si>
  <si>
    <t xml:space="preserve">Precio (ARS)</t>
  </si>
  <si>
    <t xml:space="preserve">Precio mostrado</t>
  </si>
  <si>
    <t xml:space="preserve">Consulta</t>
  </si>
  <si>
    <t xml:space="preserve">Foto (archivo)</t>
  </si>
  <si>
    <t xml:space="preserve">AFNAN</t>
  </si>
  <si>
    <t xml:space="preserve">9 AM DIVE</t>
  </si>
  <si>
    <t xml:space="preserve">Sí</t>
  </si>
  <si>
    <t xml:space="preserve">Cítrico / Fresco</t>
  </si>
  <si>
    <t xml:space="preserve">Unisex</t>
  </si>
  <si>
    <t xml:space="preserve">Limón, Menta, Grosella Negra, Manzana, Cedro</t>
  </si>
  <si>
    <t xml:space="preserve">EDP 100ML</t>
  </si>
  <si>
    <t xml:space="preserve">EDP</t>
  </si>
  <si>
    <t xml:space="preserve">Moderada (aprox. 4–8h, varía según piel)</t>
  </si>
  <si>
    <t xml:space="preserve">$75.508</t>
  </si>
  <si>
    <t xml:space="preserve">Escribir por WhatsApp</t>
  </si>
  <si>
    <t xml:space="preserve">imagenes/9-am-dive-afnan.webp</t>
  </si>
  <si>
    <t xml:space="preserve">9 AM ROSA FEM</t>
  </si>
  <si>
    <t xml:space="preserve">No</t>
  </si>
  <si>
    <t xml:space="preserve">Floral</t>
  </si>
  <si>
    <t xml:space="preserve">Femenino</t>
  </si>
  <si>
    <t xml:space="preserve">Rosa Matutina, Cítricos, Peonía, Almizcle Blanco</t>
  </si>
  <si>
    <t xml:space="preserve">Moderada (4–6h)</t>
  </si>
  <si>
    <t xml:space="preserve">$87.411</t>
  </si>
  <si>
    <t xml:space="preserve">imagenes/9-am-rosa-fem-afnan.webp</t>
  </si>
  <si>
    <t xml:space="preserve">9 PM</t>
  </si>
  <si>
    <t xml:space="preserve">Gourmand</t>
  </si>
  <si>
    <t xml:space="preserve">Manzana, Canela, Lavanda, Azahar, Vainilla</t>
  </si>
  <si>
    <t xml:space="preserve">Muy alta (8–12h+)</t>
  </si>
  <si>
    <t xml:space="preserve">$70.000</t>
  </si>
  <si>
    <t xml:space="preserve">imagenes/9-pm-afnan.webp</t>
  </si>
  <si>
    <t xml:space="preserve">9 PM ELIXIR</t>
  </si>
  <si>
    <t xml:space="preserve">Manzana Acaramelada, Especias Oscuras, Tonka</t>
  </si>
  <si>
    <t xml:space="preserve">ELIXIR 100ML</t>
  </si>
  <si>
    <t xml:space="preserve">ELIXIR</t>
  </si>
  <si>
    <t xml:space="preserve">$107.277</t>
  </si>
  <si>
    <t xml:space="preserve">imagenes/9-pm-elixir-afnan.webp</t>
  </si>
  <si>
    <t xml:space="preserve">9 PM NIGHT OUT</t>
  </si>
  <si>
    <t xml:space="preserve">Ámbar Oriental</t>
  </si>
  <si>
    <t xml:space="preserve">Cítricos Chispeantes, Especias, Cuero, Ámbar</t>
  </si>
  <si>
    <t xml:space="preserve">Alta (6–8h)</t>
  </si>
  <si>
    <t xml:space="preserve">$140.763</t>
  </si>
  <si>
    <t xml:space="preserve">imagenes/9-pm-night-out-afnan.webp</t>
  </si>
  <si>
    <t xml:space="preserve">9 PM REBEL</t>
  </si>
  <si>
    <t xml:space="preserve">Piña, Mandarina, Menta, Maderas Nobles, Ámbar</t>
  </si>
  <si>
    <t xml:space="preserve">$106.491</t>
  </si>
  <si>
    <t xml:space="preserve">imagenes/9-pm-rebel-afnan.webp</t>
  </si>
  <si>
    <t xml:space="preserve">THURATI BLUE</t>
  </si>
  <si>
    <t xml:space="preserve">Amaderado / Oud</t>
  </si>
  <si>
    <t xml:space="preserve">Toronja, Ámbar, Maderas, Almizcle</t>
  </si>
  <si>
    <t xml:space="preserve">Moderada-Alta (5–7h)</t>
  </si>
  <si>
    <t xml:space="preserve">$79.874</t>
  </si>
  <si>
    <t xml:space="preserve">imagenes/thurati-blue-afnan.webp</t>
  </si>
  <si>
    <t xml:space="preserve">TURATHI ELECTRIC</t>
  </si>
  <si>
    <t xml:space="preserve">Toronja, Menta, Pimienta Rosa, Cedro</t>
  </si>
  <si>
    <t xml:space="preserve">Consultar</t>
  </si>
  <si>
    <t xml:space="preserve">AL HARAMAIN</t>
  </si>
  <si>
    <t xml:space="preserve">AQUA DUBAI</t>
  </si>
  <si>
    <t xml:space="preserve">Bergamota, Mandarina, Acordes Marinos</t>
  </si>
  <si>
    <t xml:space="preserve">$122.112</t>
  </si>
  <si>
    <t xml:space="preserve">imagenes/aqua-dubai-al-haramain.webp</t>
  </si>
  <si>
    <t xml:space="preserve">DUBAI NIGHT</t>
  </si>
  <si>
    <t xml:space="preserve">Especias Oscuras, Ámbar, Vainilla</t>
  </si>
  <si>
    <t xml:space="preserve">$125.690</t>
  </si>
  <si>
    <t xml:space="preserve">imagenes/dubai-night-al-haramain.webp</t>
  </si>
  <si>
    <t xml:space="preserve">GOLD EDITION</t>
  </si>
  <si>
    <t xml:space="preserve">Cítricos, Piña, Ámbar, Vainilla</t>
  </si>
  <si>
    <t xml:space="preserve">EDP 120ML</t>
  </si>
  <si>
    <t xml:space="preserve">$131.103</t>
  </si>
  <si>
    <t xml:space="preserve">imagenes/gold-edition-al-haramain.webp</t>
  </si>
  <si>
    <t xml:space="preserve">AL WATANIAH</t>
  </si>
  <si>
    <t xml:space="preserve">SABAH AL WARD</t>
  </si>
  <si>
    <t xml:space="preserve">Oriental Amaderado</t>
  </si>
  <si>
    <t xml:space="preserve">Notas exactas no confirmadas en fuentes públicas; perfil floral (línea Sabah Al Ward)</t>
  </si>
  <si>
    <t xml:space="preserve">$45.696</t>
  </si>
  <si>
    <t xml:space="preserve">imagenes/sabah-al-ward-al-wataniah.webp</t>
  </si>
  <si>
    <t xml:space="preserve">ARMAF</t>
  </si>
  <si>
    <t xml:space="preserve">CLUB DE NUIT BLING</t>
  </si>
  <si>
    <t xml:space="preserve">Cítricos, Flower Prism, Stardust / Velvet Woods, Vainilla</t>
  </si>
  <si>
    <t xml:space="preserve">$98.476</t>
  </si>
  <si>
    <t xml:space="preserve">imagenes/club-de-nuit-bling-armaf.webp</t>
  </si>
  <si>
    <t xml:space="preserve">CLUB DE NUIT BLUE ICONIC</t>
  </si>
  <si>
    <t xml:space="preserve">Masculino</t>
  </si>
  <si>
    <t xml:space="preserve">Toronja, Limón, Menta, Pimienta Rosa, Cilantro / Jengibre, Melón, Jazmín, Nuez Moscada / Amaderadas, Incienso, Sándalo, Ámbar, Cedro, Pachulí, Ládano</t>
  </si>
  <si>
    <t xml:space="preserve">EDP 105ML</t>
  </si>
  <si>
    <t xml:space="preserve">Alta (aprox. 6–9h)</t>
  </si>
  <si>
    <t xml:space="preserve">$97.809</t>
  </si>
  <si>
    <t xml:space="preserve">imagenes/club-de-nuit-blue-iconic-armaf.webp</t>
  </si>
  <si>
    <t xml:space="preserve">CLUB DE NUIT INTENSE MAN</t>
  </si>
  <si>
    <t xml:space="preserve">Limón, Piña, Bergamota, Grosella Negra, Manzana / Abedul, Jazmín, Rosa / Almizcle, Ámbar Gris, Pachulí, Vainilla</t>
  </si>
  <si>
    <t xml:space="preserve">$84.429</t>
  </si>
  <si>
    <t xml:space="preserve">imagenes/club-de-nuit-intense-man-armaf.webp</t>
  </si>
  <si>
    <t xml:space="preserve">CLUB DE NUIT MALEKA</t>
  </si>
  <si>
    <t xml:space="preserve">Flores Blancas Exóticas, Cítricos Dorados, Ámbar</t>
  </si>
  <si>
    <t xml:space="preserve">$94.017</t>
  </si>
  <si>
    <t xml:space="preserve">imagenes/club-de-nuit-maleka-armaf.webp</t>
  </si>
  <si>
    <t xml:space="preserve">CLUB DE NUIT PRECIEUX</t>
  </si>
  <si>
    <t xml:space="preserve">Piña, Bergamota, Dulce de Pimienta, Maderas Lujosas</t>
  </si>
  <si>
    <t xml:space="preserve">EXTRAIT PARFUM 55ML</t>
  </si>
  <si>
    <t xml:space="preserve">EXTRAIT PARFUM</t>
  </si>
  <si>
    <t xml:space="preserve">$139.785</t>
  </si>
  <si>
    <t xml:space="preserve">imagenes/club-de-nuit-precieux-armaf.webp</t>
  </si>
  <si>
    <t xml:space="preserve">CLUB DE NUIT SILLAGE</t>
  </si>
  <si>
    <t xml:space="preserve">Bergamota, Grosella Negra, Violeta, Ambroxan</t>
  </si>
  <si>
    <t xml:space="preserve">$86.050</t>
  </si>
  <si>
    <t xml:space="preserve">imagenes/club-de-nuit-sillage-armaf.webp</t>
  </si>
  <si>
    <t xml:space="preserve">CLUB DE NUIT UNTOLD</t>
  </si>
  <si>
    <t xml:space="preserve">Azafrán, Jazmín, Amberwood, Resina de Abeto, Cedro</t>
  </si>
  <si>
    <t xml:space="preserve">$96.354</t>
  </si>
  <si>
    <t xml:space="preserve">imagenes/club-de-nuit-untold-armaf.webp</t>
  </si>
  <si>
    <t xml:space="preserve">CLUB DE NUIT URBAN MAN ELIXIR</t>
  </si>
  <si>
    <t xml:space="preserve">Bergamota, Pimienta, Lavanda, Ambroxan, Pachulí</t>
  </si>
  <si>
    <t xml:space="preserve">ELIXIR 105ML</t>
  </si>
  <si>
    <t xml:space="preserve">$102.054</t>
  </si>
  <si>
    <t xml:space="preserve">imagenes/club-de-nuit-urban-man-elixir-armaf.webp</t>
  </si>
  <si>
    <t xml:space="preserve">CLUB DE NUIT WOMAN</t>
  </si>
  <si>
    <t xml:space="preserve">Naranja, Bergamota, Rosa, Jazmín, Pachulí, Vainilla</t>
  </si>
  <si>
    <t xml:space="preserve">$88.604</t>
  </si>
  <si>
    <t xml:space="preserve">imagenes/club-de-nuit-woman-armaf.webp</t>
  </si>
  <si>
    <t xml:space="preserve">MANDARIN SKY</t>
  </si>
  <si>
    <t xml:space="preserve">Mandarina, Caramelo, Tonka, Salvia, Cítricos</t>
  </si>
  <si>
    <t xml:space="preserve">$69.738</t>
  </si>
  <si>
    <t xml:space="preserve">imagenes/mandarin-sky-armaf.webp</t>
  </si>
  <si>
    <t xml:space="preserve">MANDARIN SKY ELIXIR</t>
  </si>
  <si>
    <t xml:space="preserve">Mandarina Dulce, Caramelo Concentrado, Ámbar</t>
  </si>
  <si>
    <t xml:space="preserve">$99.406</t>
  </si>
  <si>
    <t xml:space="preserve">imagenes/mandarin-sky-elixir-armaf.webp</t>
  </si>
  <si>
    <t xml:space="preserve">ODYSSEY AQUA</t>
  </si>
  <si>
    <t xml:space="preserve">Toronja, Menta, Violeta, Pachulí, Ámbar</t>
  </si>
  <si>
    <t xml:space="preserve">$79.516</t>
  </si>
  <si>
    <t xml:space="preserve">imagenes/odyssey-aqua-armaf.webp</t>
  </si>
  <si>
    <t xml:space="preserve">ODYSSEY BAHAMAS</t>
  </si>
  <si>
    <t xml:space="preserve">Acuático / Marino</t>
  </si>
  <si>
    <t xml:space="preserve">Coco, Brisa Marina, Cítricos Tropicales</t>
  </si>
  <si>
    <t xml:space="preserve">$98.262</t>
  </si>
  <si>
    <t xml:space="preserve">imagenes/odyssey-bahamas-armaf.webp</t>
  </si>
  <si>
    <t xml:space="preserve">ODYSSEY CANDE</t>
  </si>
  <si>
    <t xml:space="preserve">Caramelo, Cacao, Especias Dulces, Vainilla</t>
  </si>
  <si>
    <t xml:space="preserve">$56.120</t>
  </si>
  <si>
    <t xml:space="preserve">imagenes/odyssey-cande-armaf.webp</t>
  </si>
  <si>
    <t xml:space="preserve">ODYSSEY GO MANGO</t>
  </si>
  <si>
    <t xml:space="preserve">Frutal</t>
  </si>
  <si>
    <t xml:space="preserve">Mango Maduro, Maracuyá, Cítricos, Ámbar</t>
  </si>
  <si>
    <t xml:space="preserve">$94.304</t>
  </si>
  <si>
    <t xml:space="preserve">imagenes/odyssey-go-mango-armaf.webp</t>
  </si>
  <si>
    <t xml:space="preserve">ODYSSEY HOMME BLACK</t>
  </si>
  <si>
    <t xml:space="preserve">Vainilla, Iris, Ámbar, Cuero, Maderas Oscuras</t>
  </si>
  <si>
    <t xml:space="preserve">$58.552</t>
  </si>
  <si>
    <t xml:space="preserve">imagenes/odyssey-homme-black-armaf.webp</t>
  </si>
  <si>
    <t xml:space="preserve">ODYSSEY HOMME WHITE</t>
  </si>
  <si>
    <t xml:space="preserve">Yuzu, Pimienta, Acordes Marinos, Maderas</t>
  </si>
  <si>
    <t xml:space="preserve">$77.370</t>
  </si>
  <si>
    <t xml:space="preserve">imagenes/odyssey-homme-white-armaf.webp</t>
  </si>
  <si>
    <t xml:space="preserve">ODYSSEY MEGA</t>
  </si>
  <si>
    <t xml:space="preserve">Bergamota, Jengibre, Enebro, Salvia, Vetiver</t>
  </si>
  <si>
    <t xml:space="preserve">$58.958</t>
  </si>
  <si>
    <t xml:space="preserve">imagenes/odyssey-mega-armaf.webp</t>
  </si>
  <si>
    <t xml:space="preserve">ASDAAF</t>
  </si>
  <si>
    <t xml:space="preserve">AMEERAT AL ARAB</t>
  </si>
  <si>
    <t xml:space="preserve">Uva, Nardo, Jazmín, Almizcle, Madera de Cedro</t>
  </si>
  <si>
    <t xml:space="preserve">Buena (aprox. 6–8h)</t>
  </si>
  <si>
    <t xml:space="preserve">$47.938</t>
  </si>
  <si>
    <t xml:space="preserve">imagenes/ameerat-al-arab-asdaaf.webp</t>
  </si>
  <si>
    <t xml:space="preserve">AMEERAT AL ARAB PRIVE ROSE</t>
  </si>
  <si>
    <t xml:space="preserve">Notas exactas no confirmadas; misma familia que Ameerat Al Arab Prive (rosa, fresa, vainilla)</t>
  </si>
  <si>
    <t xml:space="preserve">$52.995</t>
  </si>
  <si>
    <t xml:space="preserve">imagenes/ameerat-al-arab-prive-rose-asdaaf.webp</t>
  </si>
  <si>
    <t xml:space="preserve">BHARARA</t>
  </si>
  <si>
    <t xml:space="preserve">BHARARA KING 100ML</t>
  </si>
  <si>
    <t xml:space="preserve">Naranja, Bergamota, Limón / Frutas Tutti-Frutti / Almizcle Blanco, Ámbar, Vainilla</t>
  </si>
  <si>
    <t xml:space="preserve">$142.695</t>
  </si>
  <si>
    <t xml:space="preserve">imagenes/bharara-king-100ml-bharara.webp</t>
  </si>
  <si>
    <t xml:space="preserve">BHARARA KING 150ML</t>
  </si>
  <si>
    <t xml:space="preserve">EDP 150ML</t>
  </si>
  <si>
    <t xml:space="preserve">$180.258</t>
  </si>
  <si>
    <t xml:space="preserve">imagenes/bharara-king-150ml-bharara.webp</t>
  </si>
  <si>
    <t xml:space="preserve">EMPER</t>
  </si>
  <si>
    <t xml:space="preserve">STALLION 53</t>
  </si>
  <si>
    <t xml:space="preserve">Cardamomo, Violeta / Iris, Ámbar / Sándalo, Cuero, Cedro de Virginia, Papiro</t>
  </si>
  <si>
    <t xml:space="preserve">Alta (aprox. 8–10h)</t>
  </si>
  <si>
    <t xml:space="preserve">$52.208</t>
  </si>
  <si>
    <t xml:space="preserve">imagenes/stallion-53-emper.webp</t>
  </si>
  <si>
    <t xml:space="preserve">UOMO INTENSE</t>
  </si>
  <si>
    <t xml:space="preserve">Hoja de Violeta, Pomelo, Vainilla / Palisandro, Notas Marinas, Lavanda, Violeta / Ámbar Gris, Vetiver, Amberwood</t>
  </si>
  <si>
    <t xml:space="preserve">$59.577</t>
  </si>
  <si>
    <t xml:space="preserve">imagenes/uomo-intense-emper.webp</t>
  </si>
  <si>
    <t xml:space="preserve">FRAGRANCE WORLD</t>
  </si>
  <si>
    <t xml:space="preserve">TIRAMISU CARAMEL</t>
  </si>
  <si>
    <t xml:space="preserve">Café, Cacao, Caramelo Salado, Bizcocho, Vainilla</t>
  </si>
  <si>
    <t xml:space="preserve">FRENCH AVENUE</t>
  </si>
  <si>
    <t xml:space="preserve">AETHER FRENCH AVE</t>
  </si>
  <si>
    <t xml:space="preserve">Manzana Verde, Bergamota, Cedro, Musgo, Guayaba</t>
  </si>
  <si>
    <t xml:space="preserve">Moderada (aprox. 3–6h, varía)</t>
  </si>
  <si>
    <t xml:space="preserve">$62.010</t>
  </si>
  <si>
    <t xml:space="preserve">LIQUID BRUN</t>
  </si>
  <si>
    <t xml:space="preserve">Canela, Cardamomo, Bourbon, Praliné, Maderas</t>
  </si>
  <si>
    <t xml:space="preserve">$106.443</t>
  </si>
  <si>
    <t xml:space="preserve">imagenes/liquid-brun-french-avenue.webp</t>
  </si>
  <si>
    <t xml:space="preserve">LIQUID BRUN LIMITED EDITION</t>
  </si>
  <si>
    <t xml:space="preserve">Cardamomo, Cítricos, Lavanda / Azahar, Guayacán, Rosa / Vainilla, Tonka, Ámbar, Musgo de Roble</t>
  </si>
  <si>
    <t xml:space="preserve">EXTRAIT 150ML</t>
  </si>
  <si>
    <t xml:space="preserve">EXTRAIT</t>
  </si>
  <si>
    <t xml:space="preserve">$145.318</t>
  </si>
  <si>
    <t xml:space="preserve">imagenes/liquid-brun-limited-edition-french-avenue.webp</t>
  </si>
  <si>
    <t xml:space="preserve">SPECTRE GHOST</t>
  </si>
  <si>
    <t xml:space="preserve">Jengibre, Cardamomo, Bergamota, Lima / Pimienta Rosa, Grosella Negra, Rosa / Vainilla, Sándalo, Cedro, Pachulí</t>
  </si>
  <si>
    <t xml:space="preserve">$97.666</t>
  </si>
  <si>
    <t xml:space="preserve">imagenes/spectre-ghost-french-avenue.webp</t>
  </si>
  <si>
    <t xml:space="preserve">VENENO</t>
  </si>
  <si>
    <t xml:space="preserve">Manzana, Humo, Canela / Tabaco, Musgo / Vainilla Bourbon, Orcanox</t>
  </si>
  <si>
    <t xml:space="preserve">$113.145</t>
  </si>
  <si>
    <t xml:space="preserve">imagenes/veneno-french-avenue.webp</t>
  </si>
  <si>
    <t xml:space="preserve">VULCAN BLACK FRIDAY</t>
  </si>
  <si>
    <t xml:space="preserve">Notas exactas no confirmadas; misma familia que Vulcan Feu (mango, especias, maderas)</t>
  </si>
  <si>
    <t xml:space="preserve">$95.997</t>
  </si>
  <si>
    <t xml:space="preserve">imagenes/vulcan-black-friday-french-avenue.webp</t>
  </si>
  <si>
    <t xml:space="preserve">VULCAN FEU</t>
  </si>
  <si>
    <t xml:space="preserve">Mango, Limón, Jengibre, Ruibarbo / Pimienta Rosa, Jazmín, Violeta, Praliné / Haba Tonka, Cedro, Ámbar Gris, Musgo</t>
  </si>
  <si>
    <t xml:space="preserve">$118.773</t>
  </si>
  <si>
    <t xml:space="preserve">imagenes/vulcan-feu-french-avenue.webp</t>
  </si>
  <si>
    <t xml:space="preserve">LATTAFA</t>
  </si>
  <si>
    <t xml:space="preserve">AJWAD LATTAFA</t>
  </si>
  <si>
    <t xml:space="preserve">Frutos Dulces, Rosa, Vainilla, Almizcle</t>
  </si>
  <si>
    <t xml:space="preserve">$39.567</t>
  </si>
  <si>
    <t xml:space="preserve">imagenes/ajwad-lattafa-lattafa.webp</t>
  </si>
  <si>
    <t xml:space="preserve">AL NOBLE AMEER</t>
  </si>
  <si>
    <t xml:space="preserve">Manzana, Pimienta, Romero, Oud, Pachulí</t>
  </si>
  <si>
    <t xml:space="preserve">ANGHAM LATTAFA</t>
  </si>
  <si>
    <t xml:space="preserve">Jengibre, Mandarina, Praliné, Vainilla</t>
  </si>
  <si>
    <t xml:space="preserve">$64.682</t>
  </si>
  <si>
    <t xml:space="preserve">imagenes/angham-lattafa-lattafa.webp</t>
  </si>
  <si>
    <t xml:space="preserve">ART OF UNIVERSE</t>
  </si>
  <si>
    <t xml:space="preserve">Mandarina, Jengibre, Bergamota, Menta / Pera, Azahar / Almizcle, Ámbar, Cedro</t>
  </si>
  <si>
    <t xml:space="preserve">$85.956</t>
  </si>
  <si>
    <t xml:space="preserve">imagenes/art-of-universe-lattafa.webp</t>
  </si>
  <si>
    <t xml:space="preserve">ASAD</t>
  </si>
  <si>
    <t xml:space="preserve">Oriental</t>
  </si>
  <si>
    <t xml:space="preserve">Pimienta Negra, Tabaco, Piña / Pachulí, Café, Iris / Vainilla, Ámbar, Madera Seca, Benjuí, Ládano</t>
  </si>
  <si>
    <t xml:space="preserve">$72.003</t>
  </si>
  <si>
    <t xml:space="preserve">imagenes/asad-lattafa.webp</t>
  </si>
  <si>
    <t xml:space="preserve">ASAD BOURBON</t>
  </si>
  <si>
    <t xml:space="preserve">Vainilla Bourbon, Cacao, Especias Cálidas, Roble</t>
  </si>
  <si>
    <t xml:space="preserve">$91.680</t>
  </si>
  <si>
    <t xml:space="preserve">imagenes/asad-bourbon-lattafa.webp</t>
  </si>
  <si>
    <t xml:space="preserve">ASAD ELIXIR</t>
  </si>
  <si>
    <t xml:space="preserve">Especias Oscuras, Resinas, Madera Ahumada, Vainilla</t>
  </si>
  <si>
    <t xml:space="preserve">$86.265</t>
  </si>
  <si>
    <t xml:space="preserve">imagenes/asad-elixir-lattafa.webp</t>
  </si>
  <si>
    <t xml:space="preserve">ASAD ZANZIBAR</t>
  </si>
  <si>
    <t xml:space="preserve">Pimienta Negra, Agua de Coco, Iris, Vainilla</t>
  </si>
  <si>
    <t xml:space="preserve">$59.338</t>
  </si>
  <si>
    <t xml:space="preserve">imagenes/asad-zanzibar-lattafa.webp</t>
  </si>
  <si>
    <t xml:space="preserve">ATLAS LATTAFA</t>
  </si>
  <si>
    <t xml:space="preserve">Aromático Acuático</t>
  </si>
  <si>
    <t xml:space="preserve">Sal, Notas Marinas, Limón / Iris, Davana / Ámbar Gris, Sándalo, Musgo de Roble</t>
  </si>
  <si>
    <t xml:space="preserve">EDP 55ML</t>
  </si>
  <si>
    <t xml:space="preserve">$76.606</t>
  </si>
  <si>
    <t xml:space="preserve">imagenes/atlas-lattafa-lattafa.webp</t>
  </si>
  <si>
    <t xml:space="preserve">BADEE AL OUD AMETHYST</t>
  </si>
  <si>
    <t xml:space="preserve">Pimienta Rosa, Bergamota / Rosa Turca, Rosa Búlgara, Jazmín / Oud, Ámbar, Vainilla</t>
  </si>
  <si>
    <t xml:space="preserve">$50.372</t>
  </si>
  <si>
    <t xml:space="preserve">imagenes/badee-al-oud-amethyst-lattafa.webp</t>
  </si>
  <si>
    <t xml:space="preserve">BADEE AL OUD FOR GLORY</t>
  </si>
  <si>
    <t xml:space="preserve">Azafrán, Nuez Moscada, Lavanda / Oud, Pachulí / Oud, Pachulí, Almizcle</t>
  </si>
  <si>
    <t xml:space="preserve">$52.113</t>
  </si>
  <si>
    <t xml:space="preserve">imagenes/badee-al-oud-for-glory-lattafa.webp</t>
  </si>
  <si>
    <t xml:space="preserve">BADEE AL OUD NOBLE BLUSH</t>
  </si>
  <si>
    <t xml:space="preserve">Leche de Rosas / Almendra, Merengue / Sándalo, Vainilla, Almizcle</t>
  </si>
  <si>
    <t xml:space="preserve">$57.813</t>
  </si>
  <si>
    <t xml:space="preserve">imagenes/badee-al-oud-noble-blush-lattafa.webp</t>
  </si>
  <si>
    <t xml:space="preserve">BADEE AL OUD SUBLIME</t>
  </si>
  <si>
    <t xml:space="preserve">Manzana, Lichi, Rosa / Ciruela, Jazmín / Musgo, Vainilla, Pachulí</t>
  </si>
  <si>
    <t xml:space="preserve">$54.903</t>
  </si>
  <si>
    <t xml:space="preserve">imagenes/badee-al-oud-sublime-lattafa.webp</t>
  </si>
  <si>
    <t xml:space="preserve">CONFIDENTIAL GOLD</t>
  </si>
  <si>
    <t xml:space="preserve">Melocotón, Maracuyá, Pera, Vainilla</t>
  </si>
  <si>
    <t xml:space="preserve">$46.389</t>
  </si>
  <si>
    <t xml:space="preserve">imagenes/confidential-gold-lattafa.webp</t>
  </si>
  <si>
    <t xml:space="preserve">COPA DEL MUNDO</t>
  </si>
  <si>
    <t xml:space="preserve">Notas exactas no confirmadas en fuentes públicas</t>
  </si>
  <si>
    <t xml:space="preserve">$159.747</t>
  </si>
  <si>
    <t xml:space="preserve">imagenes/copa-del-mundo-lattafa.webp</t>
  </si>
  <si>
    <t xml:space="preserve">ECLAIRE</t>
  </si>
  <si>
    <t xml:space="preserve">Caramelo, Leche, Miel, Flores Blancas, Praliné</t>
  </si>
  <si>
    <t xml:space="preserve">$94.827</t>
  </si>
  <si>
    <t xml:space="preserve">imagenes/eclaire-lattafa.webp</t>
  </si>
  <si>
    <t xml:space="preserve">EMAAN LATTAFA</t>
  </si>
  <si>
    <t xml:space="preserve">Azahar, Nardo, Pachulí, Vainilla</t>
  </si>
  <si>
    <t xml:space="preserve">$54.236</t>
  </si>
  <si>
    <t xml:space="preserve">imagenes/emaan-lattafa-lattafa.webp</t>
  </si>
  <si>
    <t xml:space="preserve">EMEER</t>
  </si>
  <si>
    <t xml:space="preserve">Bergamota, Limón, Té Verde, Sándalo</t>
  </si>
  <si>
    <t xml:space="preserve">FAKHAR BLACK</t>
  </si>
  <si>
    <t xml:space="preserve">Manzana, Jengibre, Bergamota, Salvia, Tonka</t>
  </si>
  <si>
    <t xml:space="preserve">$65.826</t>
  </si>
  <si>
    <t xml:space="preserve">imagenes/fakhar-black-lattafa.webp</t>
  </si>
  <si>
    <t xml:space="preserve">FAKHAR GOLD</t>
  </si>
  <si>
    <t xml:space="preserve">Toronja, Manzana, Vetiver, Ámbar</t>
  </si>
  <si>
    <t xml:space="preserve">$58.384</t>
  </si>
  <si>
    <t xml:space="preserve">imagenes/fakhar-gold-lattafa.webp</t>
  </si>
  <si>
    <t xml:space="preserve">FAKHAR ROSA</t>
  </si>
  <si>
    <t xml:space="preserve">Lirio, Nardo, Azahar, Granada, Vainilla</t>
  </si>
  <si>
    <t xml:space="preserve">$75.939</t>
  </si>
  <si>
    <t xml:space="preserve">imagenes/fakhar-rosa-lattafa.webp</t>
  </si>
  <si>
    <t xml:space="preserve">FAKHAR SILVER</t>
  </si>
  <si>
    <t xml:space="preserve">Bergamota, Cardamomo, Maderas, Almizcle</t>
  </si>
  <si>
    <t xml:space="preserve">$54.592</t>
  </si>
  <si>
    <t xml:space="preserve">imagenes/fakhar-silver-lattafa.webp</t>
  </si>
  <si>
    <t xml:space="preserve">HABIK FOR MEN</t>
  </si>
  <si>
    <t xml:space="preserve">Cardamomo, Pimienta, Artemisia, Bergamota / Lavanda, Canela, Salvia / Sándalo, Pachulí, Haba Tonka, Amberwood, Almizcle</t>
  </si>
  <si>
    <t xml:space="preserve">$56.024</t>
  </si>
  <si>
    <t xml:space="preserve">imagenes/habik-for-men-lattafa.webp</t>
  </si>
  <si>
    <t xml:space="preserve">HAYA</t>
  </si>
  <si>
    <t xml:space="preserve">Champaña Rosada, Fresa, Orquídea, Rosa, Vainilla</t>
  </si>
  <si>
    <t xml:space="preserve">$68.974</t>
  </si>
  <si>
    <t xml:space="preserve">imagenes/haya-lattafa.webp</t>
  </si>
  <si>
    <t xml:space="preserve">HAYAATI</t>
  </si>
  <si>
    <t xml:space="preserve">Manzana, Bergamota / Canela, Maderas / Almizcle, Vainilla</t>
  </si>
  <si>
    <t xml:space="preserve">$38.280</t>
  </si>
  <si>
    <t xml:space="preserve">imagenes/hayaati-lattafa.webp</t>
  </si>
  <si>
    <t xml:space="preserve">HAYAATI AL MALEKI</t>
  </si>
  <si>
    <t xml:space="preserve">Nuez Moscada, Pimienta Rosa, Bergamota, Jengibre / Cedro, Incienso, Labdanum / Almizcle, Ámbar, Ámbar Gris</t>
  </si>
  <si>
    <t xml:space="preserve">$47.247</t>
  </si>
  <si>
    <t xml:space="preserve">imagenes/hayaati-al-maleki-lattafa.webp</t>
  </si>
  <si>
    <t xml:space="preserve">HAYAATI ROSA</t>
  </si>
  <si>
    <t xml:space="preserve">Frutos del Bosque, Rosa Dulce, Vainilla</t>
  </si>
  <si>
    <t xml:space="preserve">$43.980</t>
  </si>
  <si>
    <t xml:space="preserve">imagenes/hayaati-rosa-lattafa.webp</t>
  </si>
  <si>
    <t xml:space="preserve">HER CONFESSION</t>
  </si>
  <si>
    <t xml:space="preserve">Canela, Mística Floral, Incienso, Vainilla</t>
  </si>
  <si>
    <t xml:space="preserve">$84.048</t>
  </si>
  <si>
    <t xml:space="preserve">imagenes/her-confession-lattafa.webp</t>
  </si>
  <si>
    <t xml:space="preserve">HIS CONFESSION</t>
  </si>
  <si>
    <t xml:space="preserve">Mandarina, Canela, Iris, Cacao, Tonka</t>
  </si>
  <si>
    <t xml:space="preserve">$81.543</t>
  </si>
  <si>
    <t xml:space="preserve">imagenes/his-confession-lattafa.webp</t>
  </si>
  <si>
    <t xml:space="preserve">HONOR AND GLORY</t>
  </si>
  <si>
    <t xml:space="preserve">Piña Braseada, Crème Brûlée, Canela, Vainilla</t>
  </si>
  <si>
    <t xml:space="preserve">$54.402</t>
  </si>
  <si>
    <t xml:space="preserve">imagenes/honor-and-glory-lattafa.webp</t>
  </si>
  <si>
    <t xml:space="preserve">KHAMRAH</t>
  </si>
  <si>
    <t xml:space="preserve">Oriental Especiada</t>
  </si>
  <si>
    <t xml:space="preserve">Canela, Nuez Moscada, Bergamota / Dátiles, Praliné, Lirio de los Valles, Nardos / Tonka Tostada, Benjuí, Mirra, Vainilla, Ámbar, Akigalawood</t>
  </si>
  <si>
    <t xml:space="preserve">$63.226</t>
  </si>
  <si>
    <t xml:space="preserve">imagenes/khamrah-lattafa.webp</t>
  </si>
  <si>
    <t xml:space="preserve">KHAMRAH DUKHAN</t>
  </si>
  <si>
    <t xml:space="preserve">Especias, Pimiento Morrón, Mandarina / Incienso, Ládano, Pachulí, Flor de Azahar de Naranjo / Tabaco, Praliné, Ámbar, Haba Tonka, Benjuí</t>
  </si>
  <si>
    <t xml:space="preserve">$55.118</t>
  </si>
  <si>
    <t xml:space="preserve">imagenes/khamrah-dukhan-lattafa.webp</t>
  </si>
  <si>
    <t xml:space="preserve">KHAMRAH QAHWA</t>
  </si>
  <si>
    <t xml:space="preserve">Oriental Vainilla</t>
  </si>
  <si>
    <t xml:space="preserve">Canela, Cardamomo, Jengibre / Praliné, Frutas Confitadas, Flores Blancas / Vainilla, Café, Haba Tonka, Benjuí, Almizcle</t>
  </si>
  <si>
    <t xml:space="preserve">$57.956</t>
  </si>
  <si>
    <t xml:space="preserve">imagenes/khamrah-qahwa-lattafa.webp</t>
  </si>
  <si>
    <t xml:space="preserve">KHAMRAH WAHA</t>
  </si>
  <si>
    <t xml:space="preserve">Bergamota, Yuzu, Enebro, Jengibre / Pepino, Sal Marina, Iris, Salvia / Vainilla, Haba Tonka, Almizcle, Akigalawood</t>
  </si>
  <si>
    <t xml:space="preserve">$144.746</t>
  </si>
  <si>
    <t xml:space="preserve">imagenes/khamrah-waha-lattafa.webp</t>
  </si>
  <si>
    <t xml:space="preserve">KHANJAR</t>
  </si>
  <si>
    <t xml:space="preserve">Nuez Moscada, Azafrán, Cuero, Oud, Pachulí</t>
  </si>
  <si>
    <t xml:space="preserve">$113.502</t>
  </si>
  <si>
    <t xml:space="preserve">imagenes/khanjar-lattafa.webp</t>
  </si>
  <si>
    <t xml:space="preserve">KIT ART OF UNIVERSE</t>
  </si>
  <si>
    <t xml:space="preserve">Perfume 100ml + Travel Spray + Gel</t>
  </si>
  <si>
    <t xml:space="preserve">GIFT SET</t>
  </si>
  <si>
    <t xml:space="preserve">KIT ASAD</t>
  </si>
  <si>
    <t xml:space="preserve">Asad EDP 100ml + Deodorant Spray</t>
  </si>
  <si>
    <t xml:space="preserve">KIT PISA</t>
  </si>
  <si>
    <t xml:space="preserve">Perfume Especial + Atomizador</t>
  </si>
  <si>
    <t xml:space="preserve">KIT YARA</t>
  </si>
  <si>
    <t xml:space="preserve">Yara Rosa EDP 100ml + Body Spray</t>
  </si>
  <si>
    <t xml:space="preserve">MAYAR</t>
  </si>
  <si>
    <t xml:space="preserve">Lichi, Frambuesa, Hoja de Violeta / Rosa Blanca, Peonía, Jazmín / Almizcle, Vainilla</t>
  </si>
  <si>
    <t xml:space="preserve">$54.544</t>
  </si>
  <si>
    <t xml:space="preserve">imagenes/mayar-lattafa.webp</t>
  </si>
  <si>
    <t xml:space="preserve">MAYAR CHERRY INTENSE</t>
  </si>
  <si>
    <t xml:space="preserve">Cereza Negra, Almendra Amarga, Vainilla</t>
  </si>
  <si>
    <t xml:space="preserve">$50.848</t>
  </si>
  <si>
    <t xml:space="preserve">imagenes/mayar-cherry-intense-lattafa.webp</t>
  </si>
  <si>
    <t xml:space="preserve">MAYAR NATURAL</t>
  </si>
  <si>
    <t xml:space="preserve">Agua de Coco, Melón, Lotus, Sándalo</t>
  </si>
  <si>
    <t xml:space="preserve">MAYAR NATURAL INTENSE</t>
  </si>
  <si>
    <t xml:space="preserve">Mandarina Verde, Higo, Agua de Coco, Melón / Loto, Nenúfar, Jazmín / Almizcle, Ambroxan, Vainilla, Sándalo</t>
  </si>
  <si>
    <t xml:space="preserve">$51.921</t>
  </si>
  <si>
    <t xml:space="preserve">imagenes/mayar-natural-intense-lattafa.webp</t>
  </si>
  <si>
    <t xml:space="preserve">MAYAR PISA PRIVE</t>
  </si>
  <si>
    <t xml:space="preserve">Mango, Higo, Flor de Azahar, Ámbar</t>
  </si>
  <si>
    <t xml:space="preserve">$102.292</t>
  </si>
  <si>
    <t xml:space="preserve">imagenes/mayar-pisa-prive-lattafa.webp</t>
  </si>
  <si>
    <t xml:space="preserve">MUSAMAN BLACK</t>
  </si>
  <si>
    <t xml:space="preserve">Aromático Fougère</t>
  </si>
  <si>
    <t xml:space="preserve">Lavanda, Nuez Moscada, Salvia, Bergamota / Cedro, Geranio, Rosyfolia / Cacao, Haba Tonka, Arce, Pachulí</t>
  </si>
  <si>
    <t xml:space="preserve">$94.923</t>
  </si>
  <si>
    <t xml:space="preserve">imagenes/musaman-black-lattafa.webp</t>
  </si>
  <si>
    <t xml:space="preserve">MUSAMAN WHITE</t>
  </si>
  <si>
    <t xml:space="preserve">Especias, Bergamota, Naranja / Coco, Ylang Ylang, Ambroxan / Sándalo, Almizcle, Benzoin</t>
  </si>
  <si>
    <t xml:space="preserve">$111.117</t>
  </si>
  <si>
    <t xml:space="preserve">imagenes/musaman-white-lattafa.webp</t>
  </si>
  <si>
    <t xml:space="preserve">NEBRAS PRIDE</t>
  </si>
  <si>
    <t xml:space="preserve">Frutos Rojos, Mandarina, Cacao, Vainilla</t>
  </si>
  <si>
    <t xml:space="preserve">$80.900</t>
  </si>
  <si>
    <t xml:space="preserve">imagenes/nebras-pride-lattafa.webp</t>
  </si>
  <si>
    <t xml:space="preserve">NOBLE BLUSH</t>
  </si>
  <si>
    <t xml:space="preserve">Leche Almendras, Rosas, Merengue, Vainilla</t>
  </si>
  <si>
    <t xml:space="preserve">OPULET DUBAI</t>
  </si>
  <si>
    <t xml:space="preserve">Azafrán Dorado, Rosa, Maderas</t>
  </si>
  <si>
    <t xml:space="preserve">$47.343</t>
  </si>
  <si>
    <t xml:space="preserve">imagenes/opulet-dubai-lattafa.webp</t>
  </si>
  <si>
    <t xml:space="preserve">PISA</t>
  </si>
  <si>
    <t xml:space="preserve">Mandarina, Limón, Bergamota / Cedro / Sándalo, Ámbar</t>
  </si>
  <si>
    <t xml:space="preserve">imagenes/pisa-lattafa.webp</t>
  </si>
  <si>
    <t xml:space="preserve">QAED AL FURSAN</t>
  </si>
  <si>
    <t xml:space="preserve">Piña Jugosa, Azafrán, Jazmín, Bálsamo de Abeto</t>
  </si>
  <si>
    <t xml:space="preserve">$44.838</t>
  </si>
  <si>
    <t xml:space="preserve">imagenes/qaed-al-fursan-lattafa.webp</t>
  </si>
  <si>
    <t xml:space="preserve">QAED UNLIMITED</t>
  </si>
  <si>
    <t xml:space="preserve">Bergamota, Frambuesa, Manzana, Abedul / Jazmín, Pachulí, Rosa / Ámbar Gris, Vainilla, Musgo de Roble, Almizcle</t>
  </si>
  <si>
    <t xml:space="preserve">EDP 90ML</t>
  </si>
  <si>
    <t xml:space="preserve">$36.418</t>
  </si>
  <si>
    <t xml:space="preserve">imagenes/qaed-unlimited-lattafa.webp</t>
  </si>
  <si>
    <t xml:space="preserve">QAED UNTAMED</t>
  </si>
  <si>
    <t xml:space="preserve">Cuero Oriental, Especias Silvestres, Oud, Ámbar</t>
  </si>
  <si>
    <t xml:space="preserve">$37.206</t>
  </si>
  <si>
    <t xml:space="preserve">imagenes/qaed-untamed-lattafa.webp</t>
  </si>
  <si>
    <t xml:space="preserve">TERIAQ</t>
  </si>
  <si>
    <t xml:space="preserve">Bergamota, Pimienta Rosa / Incienso, Cedro / Ámbar, Almizcle</t>
  </si>
  <si>
    <t xml:space="preserve">$62.535</t>
  </si>
  <si>
    <t xml:space="preserve">imagenes/teriaq-lattafa.webp</t>
  </si>
  <si>
    <t xml:space="preserve">TERIAQ INTENSE</t>
  </si>
  <si>
    <t xml:space="preserve">Azafrán, Bergamota / Ciruela Licor, Canela / Ámbar, Haba Tonka, Benzoin</t>
  </si>
  <si>
    <t xml:space="preserve">$81.567</t>
  </si>
  <si>
    <t xml:space="preserve">imagenes/teriaq-intense-lattafa.webp</t>
  </si>
  <si>
    <t xml:space="preserve">THE KINGDOM</t>
  </si>
  <si>
    <t xml:space="preserve">Lavanda, Menta, Especias, Maderas, Vainilla</t>
  </si>
  <si>
    <t xml:space="preserve">$64.634</t>
  </si>
  <si>
    <t xml:space="preserve">imagenes/the-kingdom-lattafa.webp</t>
  </si>
  <si>
    <t xml:space="preserve">VICTORIA LATTAFA</t>
  </si>
  <si>
    <t xml:space="preserve">Peonía, Nardo, Cítricos, Ámbar Suave</t>
  </si>
  <si>
    <t xml:space="preserve">$66.279</t>
  </si>
  <si>
    <t xml:space="preserve">imagenes/victoria-lattafa-lattafa.webp</t>
  </si>
  <si>
    <t xml:space="preserve">VINTAGE RADIO</t>
  </si>
  <si>
    <t xml:space="preserve">Lavanda, Salvia, Ciruela, Palo Santo</t>
  </si>
  <si>
    <t xml:space="preserve">$61.581</t>
  </si>
  <si>
    <t xml:space="preserve">imagenes/vintage-radio-lattafa.webp</t>
  </si>
  <si>
    <t xml:space="preserve">YARA CANDY</t>
  </si>
  <si>
    <t xml:space="preserve">Grosella Verde, Dulce de Fresa, Gardenia, Vainilla</t>
  </si>
  <si>
    <t xml:space="preserve">$58.336</t>
  </si>
  <si>
    <t xml:space="preserve">imagenes/yara-candy-lattafa.webp</t>
  </si>
  <si>
    <t xml:space="preserve">YARA ELIXIR</t>
  </si>
  <si>
    <t xml:space="preserve">Rosas Orientales, Vainilla Concentrada, Ámbar</t>
  </si>
  <si>
    <t xml:space="preserve">$75.200</t>
  </si>
  <si>
    <t xml:space="preserve">imagenes/yara-elixir-lattafa.webp</t>
  </si>
  <si>
    <t xml:space="preserve">YARA MOI</t>
  </si>
  <si>
    <t xml:space="preserve">Melocotón, Jazmín, Caramelo, Pachulí, Ámbar</t>
  </si>
  <si>
    <t xml:space="preserve">$52.636</t>
  </si>
  <si>
    <t xml:space="preserve">imagenes/yara-moi-lattafa.webp</t>
  </si>
  <si>
    <t xml:space="preserve">YARA ROSA</t>
  </si>
  <si>
    <t xml:space="preserve">Orquídea, Mandarina, Fresa Crema, Vainilla, Sándalo</t>
  </si>
  <si>
    <t xml:space="preserve">$71.384</t>
  </si>
  <si>
    <t xml:space="preserve">imagenes/yara-rosa-lattafa.webp</t>
  </si>
  <si>
    <t xml:space="preserve">YARA TOUS</t>
  </si>
  <si>
    <t xml:space="preserve">Mango, Coco, Maracuyá, Flor de Azahar, Vainilla</t>
  </si>
  <si>
    <t xml:space="preserve">$52.232</t>
  </si>
  <si>
    <t xml:space="preserve">imagenes/yara-tous-lattafa.webp</t>
  </si>
  <si>
    <t xml:space="preserve">MAISON ALHAMBRA</t>
  </si>
  <si>
    <t xml:space="preserve">BAROQUE EXTREME (La Rouge Baroque Extreme)</t>
  </si>
  <si>
    <t xml:space="preserve">Azafrán, Almendra Amarga / Ciprés, Jazmín / Ámbar, Almizcle, Maderas</t>
  </si>
  <si>
    <t xml:space="preserve">Alta (8h o más)</t>
  </si>
  <si>
    <t xml:space="preserve">$45.626</t>
  </si>
  <si>
    <t xml:space="preserve">imagenes/baroque-extreme-la-rouge-baroque-extreme-maison-alhambra.webp</t>
  </si>
  <si>
    <t xml:space="preserve">BAROQUE ROUGE 540</t>
  </si>
  <si>
    <t xml:space="preserve">Azafrán, Jazmín, Amberwood, Resina Abeto</t>
  </si>
  <si>
    <t xml:space="preserve">DELILAH</t>
  </si>
  <si>
    <t xml:space="preserve">Lichi, Ruibarbo, Bergamota, Rosa de Turquía, Peonía</t>
  </si>
  <si>
    <t xml:space="preserve">$67.710</t>
  </si>
  <si>
    <t xml:space="preserve">imagenes/delilah-maison-alhambra.webp</t>
  </si>
  <si>
    <t xml:space="preserve">EXTRAVAGANT LOVER</t>
  </si>
  <si>
    <t xml:space="preserve">$34.344</t>
  </si>
  <si>
    <t xml:space="preserve">imagenes/extravagant-lover-maison-alhambra.webp</t>
  </si>
  <si>
    <t xml:space="preserve">FATIMA ROSA</t>
  </si>
  <si>
    <t xml:space="preserve">Toronja, Ruibarbo, Nardo, Rosa, Almizcle Blanco</t>
  </si>
  <si>
    <t xml:space="preserve">GLACIER BELLA</t>
  </si>
  <si>
    <t xml:space="preserve">Pera Jugosa, Bergamota, Vainilla</t>
  </si>
  <si>
    <t xml:space="preserve">$45.934</t>
  </si>
  <si>
    <t xml:space="preserve">imagenes/glacier-bella-maison-alhambra.webp</t>
  </si>
  <si>
    <t xml:space="preserve">GLACIER BOLD</t>
  </si>
  <si>
    <t xml:space="preserve">Bergamota, Coco, Habita Tonka</t>
  </si>
  <si>
    <t xml:space="preserve">$42.094</t>
  </si>
  <si>
    <t xml:space="preserve">imagenes/glacier-bold-maison-alhambra.webp</t>
  </si>
  <si>
    <t xml:space="preserve">INTRUDE</t>
  </si>
  <si>
    <t xml:space="preserve">Notas y marca exacta no confirmadas en fuentes públicas</t>
  </si>
  <si>
    <t xml:space="preserve">imagenes/intrude-maison-alhambra.webp</t>
  </si>
  <si>
    <t xml:space="preserve">JEAN LOWE INMORTAL</t>
  </si>
  <si>
    <t xml:space="preserve">Toronja, Jengibre, Ambroxan, Romero, Ambrette</t>
  </si>
  <si>
    <t xml:space="preserve">$57.860</t>
  </si>
  <si>
    <t xml:space="preserve">imagenes/jean-lowe-inmortal-maison-alhambra.webp</t>
  </si>
  <si>
    <t xml:space="preserve">JEAN LOWE NOIR</t>
  </si>
  <si>
    <t xml:space="preserve">Oud, Incienso, Rosa, Acorde Ahumado, Azafrán</t>
  </si>
  <si>
    <t xml:space="preserve">$58.456</t>
  </si>
  <si>
    <t xml:space="preserve">imagenes/jean-lowe-noir-maison-alhambra.webp</t>
  </si>
  <si>
    <t xml:space="preserve">JEAN LOWE VIBE</t>
  </si>
  <si>
    <t xml:space="preserve">Bergamota, Limón, Maderas Claras, Vetiver</t>
  </si>
  <si>
    <t xml:space="preserve">LA BAROQUE ROUGE</t>
  </si>
  <si>
    <t xml:space="preserve">Azafrán, Almendra / Cedro, Jazmín Egipcio / Ámbar Gris, Almizcle</t>
  </si>
  <si>
    <t xml:space="preserve">$38.565</t>
  </si>
  <si>
    <t xml:space="preserve">imagenes/la-baroque-rouge-maison-alhambra.webp</t>
  </si>
  <si>
    <t xml:space="preserve">LA VIVACITE EDP</t>
  </si>
  <si>
    <t xml:space="preserve">Notas exactas no confirmadas en fuentes públicas; familia floral fresca (línea Afnan)</t>
  </si>
  <si>
    <t xml:space="preserve">$48.081</t>
  </si>
  <si>
    <t xml:space="preserve">imagenes/la-vivacite-edp-maison-alhambra.webp</t>
  </si>
  <si>
    <t xml:space="preserve">LA VOIE EDP</t>
  </si>
  <si>
    <t xml:space="preserve">Azahar, Bergamota, Nardo, Jazmín, Vainilla</t>
  </si>
  <si>
    <t xml:space="preserve">$67.472</t>
  </si>
  <si>
    <t xml:space="preserve">imagenes/la-voie-edp-maison-alhambra.webp</t>
  </si>
  <si>
    <t xml:space="preserve">PAPILLON DOOR FEM</t>
  </si>
  <si>
    <t xml:space="preserve">$80.446</t>
  </si>
  <si>
    <t xml:space="preserve">imagenes/papillon-door-fem-maison-alhambra.webp</t>
  </si>
  <si>
    <t xml:space="preserve">PHILOS PURA</t>
  </si>
  <si>
    <t xml:space="preserve">Cítricos Mediterráneos, Frutas, Vainilla</t>
  </si>
  <si>
    <t xml:space="preserve">$49.560</t>
  </si>
  <si>
    <t xml:space="preserve">imagenes/philos-pura-maison-alhambra.webp</t>
  </si>
  <si>
    <t xml:space="preserve">ROSE SEDUCTION VIP</t>
  </si>
  <si>
    <t xml:space="preserve">Notas exactas no confirmadas en fuentes públicas; perfil floral rosado</t>
  </si>
  <si>
    <t xml:space="preserve">$59.888</t>
  </si>
  <si>
    <t xml:space="preserve">imagenes/rose-seduction-vip-maison-alhambra.webp</t>
  </si>
  <si>
    <t xml:space="preserve">SALVO EDP</t>
  </si>
  <si>
    <t xml:space="preserve">Bergamota de Calabria, Pimienta, Lavanda</t>
  </si>
  <si>
    <t xml:space="preserve">$58.623</t>
  </si>
  <si>
    <t xml:space="preserve">imagenes/salvo-edp-maison-alhambra.webp</t>
  </si>
  <si>
    <t xml:space="preserve">SALVO ELIXIR</t>
  </si>
  <si>
    <t xml:space="preserve">Cardamomo, Nuez Moscada, Lavanda, Maderas</t>
  </si>
  <si>
    <t xml:space="preserve">ELIXIR 60ML</t>
  </si>
  <si>
    <t xml:space="preserve">$55.190</t>
  </si>
  <si>
    <t xml:space="preserve">imagenes/salvo-elixir-maison-alhambra.webp</t>
  </si>
  <si>
    <t xml:space="preserve">SCEPTRE MALACHITE</t>
  </si>
  <si>
    <t xml:space="preserve">Mango, Hierbas Aromáticas, Ámbar, Maderas</t>
  </si>
  <si>
    <t xml:space="preserve">$60.150</t>
  </si>
  <si>
    <t xml:space="preserve">imagenes/sceptre-malachite-maison-alhambra.webp</t>
  </si>
  <si>
    <t xml:space="preserve">YEAH MAN EDP</t>
  </si>
  <si>
    <t xml:space="preserve">Manzana, Jengibre, Salvia, Tonka</t>
  </si>
  <si>
    <t xml:space="preserve">$49.059</t>
  </si>
  <si>
    <t xml:space="preserve">imagenes/yeah-man-edp-maison-alhambra.webp</t>
  </si>
  <si>
    <t xml:space="preserve">YEAH MAN PARFUM</t>
  </si>
  <si>
    <t xml:space="preserve">Manzana Acaramelada, Lavanda, Vainilla</t>
  </si>
  <si>
    <t xml:space="preserve">EXTRAIT PARFUM 100ML</t>
  </si>
  <si>
    <t xml:space="preserve">$48.249</t>
  </si>
  <si>
    <t xml:space="preserve">imagenes/yeah-man-parfum-maison-alhambra.webp</t>
  </si>
  <si>
    <t xml:space="preserve">YOUR TOUCH AMBER</t>
  </si>
  <si>
    <t xml:space="preserve">Notas exactas no confirmadas en fuentes públicas; perfil ambarado</t>
  </si>
  <si>
    <t xml:space="preserve">$38.541</t>
  </si>
  <si>
    <t xml:space="preserve">imagenes/your-touch-amber-maison-alhambra.webp</t>
  </si>
  <si>
    <t xml:space="preserve">YOUR TOUCH INTENSE</t>
  </si>
  <si>
    <t xml:space="preserve">$49.227</t>
  </si>
  <si>
    <t xml:space="preserve">imagenes/your-touch-intense-maison-alhambra.webp</t>
  </si>
  <si>
    <t xml:space="preserve">OTROS PRODUCTOS Y ACCESORIOS</t>
  </si>
  <si>
    <t xml:space="preserve">DESODORANTE 200ML</t>
  </si>
  <si>
    <t xml:space="preserve">Producto de perfumería general (desodorante corporal)</t>
  </si>
  <si>
    <t xml:space="preserve">DEO 200ML</t>
  </si>
  <si>
    <t xml:space="preserve">DEO</t>
  </si>
  <si>
    <t xml:space="preserve">$15.861</t>
  </si>
  <si>
    <t xml:space="preserve">MINIATURAS</t>
  </si>
  <si>
    <t xml:space="preserve">Set de miniaturas surtidas</t>
  </si>
  <si>
    <t xml:space="preserve">SET</t>
  </si>
  <si>
    <t xml:space="preserve">$26.926</t>
  </si>
  <si>
    <t xml:space="preserve">imagenes/miniaturas-otros-productos-y-accesorios.webp</t>
  </si>
  <si>
    <t xml:space="preserve">RASASI</t>
  </si>
  <si>
    <t xml:space="preserve">HAWAS BLACK</t>
  </si>
  <si>
    <t xml:space="preserve">Piña Oscura, Bergamota, Maderas Especiadas</t>
  </si>
  <si>
    <t xml:space="preserve">Alta (aprox. 6–10h)</t>
  </si>
  <si>
    <t xml:space="preserve">$86.790</t>
  </si>
  <si>
    <t xml:space="preserve">imagenes/hawas-black-rasasi.webp</t>
  </si>
  <si>
    <t xml:space="preserve">HAWAS CLASICO</t>
  </si>
  <si>
    <t xml:space="preserve">Manzana, Bergamota, Canela, Azahar, Ámbar Gris</t>
  </si>
  <si>
    <t xml:space="preserve">$66.994</t>
  </si>
  <si>
    <t xml:space="preserve">imagenes/hawas-clasico-rasasi.webp</t>
  </si>
  <si>
    <t xml:space="preserve">HAWAS DIVA</t>
  </si>
  <si>
    <t xml:space="preserve">Frutos Rojos, Ruibarbo, Lichi / Rosa, Incienso, Cedro / Vainilla, Almizcle, Ámbar Gris</t>
  </si>
  <si>
    <t xml:space="preserve">$98.954</t>
  </si>
  <si>
    <t xml:space="preserve">imagenes/hawas-diva-rasasi.webp</t>
  </si>
  <si>
    <t xml:space="preserve">HAWAS FIRE</t>
  </si>
  <si>
    <t xml:space="preserve">Pimienta Roja, Ámbar Ardiente, Canela, Maderas</t>
  </si>
  <si>
    <t xml:space="preserve">$93.111</t>
  </si>
  <si>
    <t xml:space="preserve">imagenes/hawas-fire-rasasi.webp</t>
  </si>
  <si>
    <t xml:space="preserve">HAWAS ICE</t>
  </si>
  <si>
    <t xml:space="preserve">Cítricos Helados, Manzana, Menta, Ámbar Gris</t>
  </si>
  <si>
    <t xml:space="preserve">$102.936</t>
  </si>
  <si>
    <t xml:space="preserve">imagenes/hawas-ice-rasasi.webp</t>
  </si>
  <si>
    <t xml:space="preserve">HAWAS KOBRA</t>
  </si>
  <si>
    <t xml:space="preserve">Especias Misteriosas, Cuero Suave, Maderas</t>
  </si>
  <si>
    <t xml:space="preserve">$100.336</t>
  </si>
  <si>
    <t xml:space="preserve">imagenes/hawas-kobra-rasasi.webp</t>
  </si>
  <si>
    <t xml:space="preserve">HAWAS MALIBU</t>
  </si>
  <si>
    <t xml:space="preserve">Cítricos Costeros, Brisa Marina, Maderas, Almizcle</t>
  </si>
  <si>
    <t xml:space="preserve">imagenes/hawas-malibu-rasasi.webp</t>
  </si>
  <si>
    <t xml:space="preserve">HAWAS TROPICAL</t>
  </si>
  <si>
    <t xml:space="preserve">Frutas Exóticas, Coco, Flores Blancas, Ámbar</t>
  </si>
  <si>
    <t xml:space="preserve">$80.924</t>
  </si>
  <si>
    <t xml:space="preserve">imagenes/hawas-tropical-rasasi.webp</t>
  </si>
  <si>
    <t xml:space="preserve">RAVE</t>
  </si>
  <si>
    <t xml:space="preserve">NOW WOMEN</t>
  </si>
  <si>
    <t xml:space="preserve">Frutos Rojos, Naranja, Jazmín, Resinas, Vainilla</t>
  </si>
  <si>
    <t xml:space="preserve">$54.807</t>
  </si>
  <si>
    <t xml:space="preserve">imagenes/now-women-rave.webp</t>
  </si>
  <si>
    <t xml:space="preserve">RAYHAAN</t>
  </si>
  <si>
    <t xml:space="preserve">RAYHAAN ELIXIR</t>
  </si>
  <si>
    <t xml:space="preserve">Menta, Cardamomo, Lavanda, Tonka</t>
  </si>
  <si>
    <t xml:space="preserve">$92.514</t>
  </si>
  <si>
    <t xml:space="preserve">imagenes/rayhaan-elixir-rayhaan.webp</t>
  </si>
  <si>
    <t xml:space="preserve">RAYHAAN ITALIA</t>
  </si>
  <si>
    <t xml:space="preserve">Lavanda, Limón, Bergamota / Miel, Canela, Cashmeran, Jazmín / Vainilla, Tabaco, Haba Tonka</t>
  </si>
  <si>
    <t xml:space="preserve">$134.204</t>
  </si>
  <si>
    <t xml:space="preserve">imagenes/rayhaan-italia-rayhaan.webp</t>
  </si>
  <si>
    <t xml:space="preserve">RAYHAAN WOLF</t>
  </si>
  <si>
    <t xml:space="preserve">Jengibre / Notas Amaderadas / Vainilla Bourbon</t>
  </si>
  <si>
    <t xml:space="preserve">$88.912</t>
  </si>
  <si>
    <t xml:space="preserve">imagenes/rayhaan-wolf-rayhaan.webp</t>
  </si>
  <si>
    <t xml:space="preserve">TROPICAL VIBER / TROPICAL VIBES</t>
  </si>
  <si>
    <t xml:space="preserve">Mango, Piña, Bergamota, Ron / Coco, Flores Blancas, Notas Marinas / Almizcle, Ámbar, Sándalo, Vetiver</t>
  </si>
  <si>
    <t xml:space="preserve">$93.873</t>
  </si>
  <si>
    <t xml:space="preserve">imagenes/tropical-viber-tropical-vibes-rayhaan.webp</t>
  </si>
  <si>
    <t xml:space="preserve">XERJOFF</t>
  </si>
  <si>
    <t xml:space="preserve">ERBA PURA</t>
  </si>
  <si>
    <t xml:space="preserve">Floral Almizclado</t>
  </si>
  <si>
    <t xml:space="preserve">Naranja de Sicilia, Bergamota, Grosella Negra / Jazmín Sambac, Heliotropo, Rosa / Almizcle, Amberwood</t>
  </si>
  <si>
    <t xml:space="preserve">Alta (7–9h)</t>
  </si>
  <si>
    <t xml:space="preserve">$410.697</t>
  </si>
  <si>
    <t xml:space="preserve">imagenes/erba-pura-xerjoff.webp</t>
  </si>
  <si>
    <t xml:space="preserve">Resumen por casa</t>
  </si>
  <si>
    <t xml:space="preserve">Descripción</t>
  </si>
  <si>
    <t xml:space="preserve">Cantidad de fragancias</t>
  </si>
  <si>
    <t xml:space="preserve">Con precio publicado</t>
  </si>
  <si>
    <t xml:space="preserve">Precio mínimo (ARS)</t>
  </si>
  <si>
    <t xml:space="preserve">Precio máximo (ARS)</t>
  </si>
  <si>
    <t xml:space="preserve">Precio promedio (ARS)</t>
  </si>
  <si>
    <t xml:space="preserve">Modernidad árabe con acentos nocturnos: una firma audaz que no pide permiso.</t>
  </si>
  <si>
    <t xml:space="preserve">Perfumería saudí de tradición centenaria, maestra del oud denso y el ámbar oriental.</t>
  </si>
  <si>
    <t xml:space="preserve">Tradición floral del Golfo, expresada con una delicadeza atemporal.</t>
  </si>
  <si>
    <t xml:space="preserve">El poder de una noche inolvidable, embotellado: cítricos vibrantes y una estela imposible de ignorar.</t>
  </si>
  <si>
    <t xml:space="preserve">Maderas y cuero de carácter clásico, para quien no necesita levantar la voz.</t>
  </si>
  <si>
    <t xml:space="preserve">Gourmands golosos: el placer convertido en fragancia.</t>
  </si>
  <si>
    <t xml:space="preserve">El romance parisino, reinterpretado en clave oriental.</t>
  </si>
  <si>
    <t xml:space="preserve">La casa más prolífica de la alta perfumería árabe — un universo dentro del catálogo.</t>
  </si>
  <si>
    <t xml:space="preserve">Elegancia europea de inspiración francesa, pulida hasta el último detalle.</t>
  </si>
  <si>
    <t xml:space="preserve">Complementos y presentaciones especiales para completar la experiencia Altiva.</t>
  </si>
  <si>
    <t xml:space="preserve">Herencia emiratí convertida en ícono: la saga Hawas y su magnetismo marino.</t>
  </si>
  <si>
    <t xml:space="preserve">Frescura tropical con alma especiada, para climas y ánimos intensos.</t>
  </si>
  <si>
    <t xml:space="preserve">Alta perfumería italiana de nicho: artesanía, rareza y materias primas excepcionales.</t>
  </si>
  <si>
    <t xml:space="preserve">TOTAL</t>
  </si>
  <si>
    <t xml:space="preserve">Suma de todas las casas</t>
  </si>
  <si>
    <t xml:space="preserve">Control: el total de fragancias coincide con la hoja Productos</t>
  </si>
  <si>
    <t xml:space="preserve">Altiva Essentia · Catálogo de fragancias</t>
  </si>
  <si>
    <t xml:space="preserve">Marca</t>
  </si>
  <si>
    <t xml:space="preserve">ALTIVA ESSENTIA</t>
  </si>
  <si>
    <t xml:space="preserve">Eslogan</t>
  </si>
  <si>
    <t xml:space="preserve">Sofisticación, proyección excepcional y esencias imponentes</t>
  </si>
  <si>
    <t xml:space="preserve">Teléfono</t>
  </si>
  <si>
    <t xml:space="preserve">+54 9 351 652-1368</t>
  </si>
  <si>
    <t xml:space="preserve">WhatsApp</t>
  </si>
  <si>
    <t xml:space="preserve">https://wa.me/5493516521368</t>
  </si>
  <si>
    <t xml:space="preserve">Total de fragancias</t>
  </si>
  <si>
    <t xml:space="preserve">Casas</t>
  </si>
  <si>
    <t xml:space="preserve">A consultar</t>
  </si>
  <si>
    <t xml:space="preserve">Destacados</t>
  </si>
  <si>
    <t xml:space="preserve">Notas de los datos</t>
  </si>
  <si>
    <t xml:space="preserve">Fuente</t>
  </si>
  <si>
    <t xml:space="preserve">Catálogo HTML publicado (c74c15bb-index.html). Los datos se transcribieron tal cual figuran en la página.</t>
  </si>
  <si>
    <t xml:space="preserve">Precio tal como aparece en el catálogo. Celda vacía = precio a consultar (se muestra como 'Consultar' en Precio mostrado).</t>
  </si>
  <si>
    <t xml:space="preserve">Texto original del catálogo (ej. 'EDP 100ML').</t>
  </si>
  <si>
    <t xml:space="preserve">Tipo y Volumen</t>
  </si>
  <si>
    <t xml:space="preserve">Derivados de la Presentación: Tipo = concentración o formato (EDP, ELIXIR, EXTRAIT PARFUM, SET, etc.); Volumen = mililitros.</t>
  </si>
  <si>
    <t xml:space="preserve">Año y Duración</t>
  </si>
  <si>
    <t xml:space="preserve">Texto original del catálogo. 'Consultar' se mantiene así. Los 2 accesorios no tienen estos datos y quedan vacíos.</t>
  </si>
  <si>
    <t xml:space="preserve">Lista original del catálogo, separadas por coma.</t>
  </si>
  <si>
    <t xml:space="preserve">Ruta relativa a la carpeta 'imagenes/' que acompaña este archivo (formato WebP). 15 productos no tienen foto.</t>
  </si>
  <si>
    <t xml:space="preserve">Orden</t>
  </si>
  <si>
    <t xml:space="preserve">Por casa (A-Z) y luego por producto (A-Z).</t>
  </si>
  <si>
    <t xml:space="preserve">Manifiesto</t>
  </si>
  <si>
    <t xml:space="preserve">Altiva Essentia nace de una convicción simple: el perfume no se compra, se elige. Cada fragancia de este catálogo fue reunida pensando en quien entiende que un aroma es la primera impresión que se deja y la última que se recuerda — poder y delicadeza en el mismo gesto.</t>
  </si>
  <si>
    <t xml:space="preserve">Reunimos, casa por casa, las firmas más codiciadas de la alta perfumería árabe y europea: ámbares intensos, oud especiado, gourmands imposibles de olvidar y flores que perduran mucho después de la piel. Altiva Essentia no es solo un nombre — es una promesa de sofisticación, hecha esencia.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</si>
</sst>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"/>
    <numFmt numFmtId="166" formatCode="General"/>
    <numFmt numFmtId="167" formatCode="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b val="true"/>
      <sz val="14"/>
      <color rgb="FF3B2F12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color rgb="FF3B2F12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3B2F12"/>
        <bgColor rgb="FF333333"/>
      </patternFill>
    </fill>
    <fill>
      <patternFill patternType="solid">
        <fgColor rgb="FFF2EBD3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2BC"/>
      </left>
      <right style="thin">
        <color rgb="FFD9D2BC"/>
      </right>
      <top style="thin">
        <color rgb="FFD9D2BC"/>
      </top>
      <bottom style="thin">
        <color rgb="FFD9D2B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8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5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3B2F1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563C1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2BC"/>
      <rgbColor rgb="FF808080"/>
      <rgbColor rgb="FF9999FF"/>
      <rgbColor rgb="FF993366"/>
      <rgbColor rgb="FFF2EBD3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B2F12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a.me/5493516521368?text=Hola%21%20Quisiera%20consultar%20por%20el%20perfume%209%20AM%20DIVE" TargetMode="External"/><Relationship Id="rId2" Type="http://schemas.openxmlformats.org/officeDocument/2006/relationships/hyperlink" Target="https://wa.me/5493516521368?text=Hola%21%20Quisiera%20consultar%20por%20el%20perfume%209%20AM%20ROSA%20FEM" TargetMode="External"/><Relationship Id="rId3" Type="http://schemas.openxmlformats.org/officeDocument/2006/relationships/hyperlink" Target="https://wa.me/5493516521368?text=Hola%21%20Quisiera%20consultar%20por%20el%20perfume%209%20PM" TargetMode="External"/><Relationship Id="rId4" Type="http://schemas.openxmlformats.org/officeDocument/2006/relationships/hyperlink" Target="https://wa.me/5493516521368?text=Hola%21%20Quisiera%20consultar%20por%20el%20perfume%209%20PM%20ELIXIR" TargetMode="External"/><Relationship Id="rId5" Type="http://schemas.openxmlformats.org/officeDocument/2006/relationships/hyperlink" Target="https://wa.me/5493516521368?text=Hola%21%20Quisiera%20consultar%20por%20el%20perfume%209%20PM%20NIGHT%20OUT" TargetMode="External"/><Relationship Id="rId6" Type="http://schemas.openxmlformats.org/officeDocument/2006/relationships/hyperlink" Target="https://wa.me/5493516521368?text=Hola%21%20Quisiera%20consultar%20por%20el%20perfume%209%20PM%20REBEL" TargetMode="External"/><Relationship Id="rId7" Type="http://schemas.openxmlformats.org/officeDocument/2006/relationships/hyperlink" Target="https://wa.me/5493516521368?text=Hola%21%20Quisiera%20consultar%20por%20el%20perfume%20THURATI%20BLUE" TargetMode="External"/><Relationship Id="rId8" Type="http://schemas.openxmlformats.org/officeDocument/2006/relationships/hyperlink" Target="https://wa.me/5493516521368?text=Hola%21%20Quisiera%20consultar%20por%20el%20perfume%20TURATHI%20ELECTRIC" TargetMode="External"/><Relationship Id="rId9" Type="http://schemas.openxmlformats.org/officeDocument/2006/relationships/hyperlink" Target="https://wa.me/5493516521368?text=Hola%21%20Quisiera%20consultar%20por%20el%20perfume%20AQUA%20DUBAI" TargetMode="External"/><Relationship Id="rId10" Type="http://schemas.openxmlformats.org/officeDocument/2006/relationships/hyperlink" Target="https://wa.me/5493516521368?text=Hola%21%20Quisiera%20consultar%20por%20el%20perfume%20DUBAI%20NIGHT" TargetMode="External"/><Relationship Id="rId11" Type="http://schemas.openxmlformats.org/officeDocument/2006/relationships/hyperlink" Target="https://wa.me/5493516521368?text=Hola%21%20Quisiera%20consultar%20por%20el%20perfume%20GOLD%20EDITION" TargetMode="External"/><Relationship Id="rId12" Type="http://schemas.openxmlformats.org/officeDocument/2006/relationships/hyperlink" Target="https://wa.me/5493516521368?text=Hola%21%20Quisiera%20consultar%20por%20el%20perfume%20SABAH%20AL%20WARD" TargetMode="External"/><Relationship Id="rId13" Type="http://schemas.openxmlformats.org/officeDocument/2006/relationships/hyperlink" Target="https://wa.me/5493516521368?text=Hola%21%20Quisiera%20consultar%20por%20el%20perfume%20CLUB%20DE%20NUIT%20BLING" TargetMode="External"/><Relationship Id="rId14" Type="http://schemas.openxmlformats.org/officeDocument/2006/relationships/hyperlink" Target="https://wa.me/5493516521368?text=Hola%21%20Quisiera%20consultar%20por%20el%20perfume%20CLUB%20DE%20NUIT%20BLUE%20ICONIC" TargetMode="External"/><Relationship Id="rId15" Type="http://schemas.openxmlformats.org/officeDocument/2006/relationships/hyperlink" Target="https://wa.me/5493516521368?text=Hola%21%20Quisiera%20consultar%20por%20el%20perfume%20CLUB%20DE%20NUIT%20INTENSE%20MAN" TargetMode="External"/><Relationship Id="rId16" Type="http://schemas.openxmlformats.org/officeDocument/2006/relationships/hyperlink" Target="https://wa.me/5493516521368?text=Hola%21%20Quisiera%20consultar%20por%20el%20perfume%20CLUB%20DE%20NUIT%20MALEKA" TargetMode="External"/><Relationship Id="rId17" Type="http://schemas.openxmlformats.org/officeDocument/2006/relationships/hyperlink" Target="https://wa.me/5493516521368?text=Hola%21%20Quisiera%20consultar%20por%20el%20perfume%20CLUB%20DE%20NUIT%20PRECIEUX" TargetMode="External"/><Relationship Id="rId18" Type="http://schemas.openxmlformats.org/officeDocument/2006/relationships/hyperlink" Target="https://wa.me/5493516521368?text=Hola%21%20Quisiera%20consultar%20por%20el%20perfume%20CLUB%20DE%20NUIT%20SILLAGE" TargetMode="External"/><Relationship Id="rId19" Type="http://schemas.openxmlformats.org/officeDocument/2006/relationships/hyperlink" Target="https://wa.me/5493516521368?text=Hola%21%20Quisiera%20consultar%20por%20el%20perfume%20CLUB%20DE%20NUIT%20UNTOLD" TargetMode="External"/><Relationship Id="rId20" Type="http://schemas.openxmlformats.org/officeDocument/2006/relationships/hyperlink" Target="https://wa.me/5493516521368?text=Hola%21%20Quisiera%20consultar%20por%20el%20perfume%20CLUB%20DE%20NUIT%20URBAN%20MAN%20ELIXIR" TargetMode="External"/><Relationship Id="rId21" Type="http://schemas.openxmlformats.org/officeDocument/2006/relationships/hyperlink" Target="https://wa.me/5493516521368?text=Hola%21%20Quisiera%20consultar%20por%20el%20perfume%20CLUB%20DE%20NUIT%20WOMAN" TargetMode="External"/><Relationship Id="rId22" Type="http://schemas.openxmlformats.org/officeDocument/2006/relationships/hyperlink" Target="https://wa.me/5493516521368?text=Hola%21%20Quisiera%20consultar%20por%20el%20perfume%20MANDARIN%20SKY" TargetMode="External"/><Relationship Id="rId23" Type="http://schemas.openxmlformats.org/officeDocument/2006/relationships/hyperlink" Target="https://wa.me/5493516521368?text=Hola%21%20Quisiera%20consultar%20por%20el%20perfume%20MANDARIN%20SKY%20ELIXIR" TargetMode="External"/><Relationship Id="rId24" Type="http://schemas.openxmlformats.org/officeDocument/2006/relationships/hyperlink" Target="https://wa.me/5493516521368?text=Hola%21%20Quisiera%20consultar%20por%20el%20perfume%20ODYSSEY%20AQUA" TargetMode="External"/><Relationship Id="rId25" Type="http://schemas.openxmlformats.org/officeDocument/2006/relationships/hyperlink" Target="https://wa.me/5493516521368?text=Hola%21%20Quisiera%20consultar%20por%20el%20perfume%20ODYSSEY%20BAHAMAS" TargetMode="External"/><Relationship Id="rId26" Type="http://schemas.openxmlformats.org/officeDocument/2006/relationships/hyperlink" Target="https://wa.me/5493516521368?text=Hola%21%20Quisiera%20consultar%20por%20el%20perfume%20ODYSSEY%20CANDE" TargetMode="External"/><Relationship Id="rId27" Type="http://schemas.openxmlformats.org/officeDocument/2006/relationships/hyperlink" Target="https://wa.me/5493516521368?text=Hola%21%20Quisiera%20consultar%20por%20el%20perfume%20ODYSSEY%20GO%20MANGO" TargetMode="External"/><Relationship Id="rId28" Type="http://schemas.openxmlformats.org/officeDocument/2006/relationships/hyperlink" Target="https://wa.me/5493516521368?text=Hola%21%20Quisiera%20consultar%20por%20el%20perfume%20ODYSSEY%20HOMME%20BLACK" TargetMode="External"/><Relationship Id="rId29" Type="http://schemas.openxmlformats.org/officeDocument/2006/relationships/hyperlink" Target="https://wa.me/5493516521368?text=Hola%21%20Quisiera%20consultar%20por%20el%20perfume%20ODYSSEY%20HOMME%20WHITE" TargetMode="External"/><Relationship Id="rId30" Type="http://schemas.openxmlformats.org/officeDocument/2006/relationships/hyperlink" Target="https://wa.me/5493516521368?text=Hola%21%20Quisiera%20consultar%20por%20el%20perfume%20ODYSSEY%20MEGA" TargetMode="External"/><Relationship Id="rId31" Type="http://schemas.openxmlformats.org/officeDocument/2006/relationships/hyperlink" Target="https://wa.me/5493516521368?text=Hola%21%20Quisiera%20consultar%20por%20el%20perfume%20AMEERAT%20AL%20ARAB" TargetMode="External"/><Relationship Id="rId32" Type="http://schemas.openxmlformats.org/officeDocument/2006/relationships/hyperlink" Target="https://wa.me/5493516521368?text=Hola%21%20Quisiera%20consultar%20por%20el%20perfume%20AMEERAT%20AL%20ARAB%20PRIVE%20ROSE" TargetMode="External"/><Relationship Id="rId33" Type="http://schemas.openxmlformats.org/officeDocument/2006/relationships/hyperlink" Target="https://wa.me/5493516521368?text=Hola%21%20Quisiera%20consultar%20por%20el%20perfume%20BHARARA%20KING%20100ML" TargetMode="External"/><Relationship Id="rId34" Type="http://schemas.openxmlformats.org/officeDocument/2006/relationships/hyperlink" Target="https://wa.me/5493516521368?text=Hola%21%20Quisiera%20consultar%20por%20el%20perfume%20BHARARA%20KING%20150ML" TargetMode="External"/><Relationship Id="rId35" Type="http://schemas.openxmlformats.org/officeDocument/2006/relationships/hyperlink" Target="https://wa.me/5493516521368?text=Hola%21%20Quisiera%20consultar%20por%20el%20perfume%20STALLION%2053" TargetMode="External"/><Relationship Id="rId36" Type="http://schemas.openxmlformats.org/officeDocument/2006/relationships/hyperlink" Target="https://wa.me/5493516521368?text=Hola%21%20Quisiera%20consultar%20por%20el%20perfume%20UOMO%20INTENSE" TargetMode="External"/><Relationship Id="rId37" Type="http://schemas.openxmlformats.org/officeDocument/2006/relationships/hyperlink" Target="https://wa.me/5493516521368?text=Hola%21%20Quisiera%20consultar%20por%20el%20perfume%20TIRAMISU%20CARAMEL" TargetMode="External"/><Relationship Id="rId38" Type="http://schemas.openxmlformats.org/officeDocument/2006/relationships/hyperlink" Target="https://wa.me/5493516521368?text=Hola%21%20Quisiera%20consultar%20por%20el%20perfume%20AETHER%20FRENCH%20AVE" TargetMode="External"/><Relationship Id="rId39" Type="http://schemas.openxmlformats.org/officeDocument/2006/relationships/hyperlink" Target="https://wa.me/5493516521368?text=Hola%21%20Quisiera%20consultar%20por%20el%20perfume%20LIQUID%20BRUN" TargetMode="External"/><Relationship Id="rId40" Type="http://schemas.openxmlformats.org/officeDocument/2006/relationships/hyperlink" Target="https://wa.me/5493516521368?text=Hola%21%20Quisiera%20consultar%20por%20el%20perfume%20LIQUID%20BRUN%20LIMITED%20EDITION" TargetMode="External"/><Relationship Id="rId41" Type="http://schemas.openxmlformats.org/officeDocument/2006/relationships/hyperlink" Target="https://wa.me/5493516521368?text=Hola%21%20Quisiera%20consultar%20por%20el%20perfume%20SPECTRE%20GHOST" TargetMode="External"/><Relationship Id="rId42" Type="http://schemas.openxmlformats.org/officeDocument/2006/relationships/hyperlink" Target="https://wa.me/5493516521368?text=Hola%21%20Quisiera%20consultar%20por%20el%20perfume%20VENENO" TargetMode="External"/><Relationship Id="rId43" Type="http://schemas.openxmlformats.org/officeDocument/2006/relationships/hyperlink" Target="https://wa.me/5493516521368?text=Hola%21%20Quisiera%20consultar%20por%20el%20perfume%20VULCAN%20BLACK%20FRIDAY" TargetMode="External"/><Relationship Id="rId44" Type="http://schemas.openxmlformats.org/officeDocument/2006/relationships/hyperlink" Target="https://wa.me/5493516521368?text=Hola%21%20Quisiera%20consultar%20por%20el%20perfume%20VULCAN%20FEU" TargetMode="External"/><Relationship Id="rId45" Type="http://schemas.openxmlformats.org/officeDocument/2006/relationships/hyperlink" Target="https://wa.me/5493516521368?text=Hola%21%20Quisiera%20consultar%20por%20el%20perfume%20AJWAD%20LATTAFA" TargetMode="External"/><Relationship Id="rId46" Type="http://schemas.openxmlformats.org/officeDocument/2006/relationships/hyperlink" Target="https://wa.me/5493516521368?text=Hola%21%20Quisiera%20consultar%20por%20el%20perfume%20AL%20NOBLE%20AMEER" TargetMode="External"/><Relationship Id="rId47" Type="http://schemas.openxmlformats.org/officeDocument/2006/relationships/hyperlink" Target="https://wa.me/5493516521368?text=Hola%21%20Quisiera%20consultar%20por%20el%20perfume%20ANGHAM%20LATTAFA" TargetMode="External"/><Relationship Id="rId48" Type="http://schemas.openxmlformats.org/officeDocument/2006/relationships/hyperlink" Target="https://wa.me/5493516521368?text=Hola%21%20Quisiera%20consultar%20por%20el%20perfume%20ART%20OF%20UNIVERSE" TargetMode="External"/><Relationship Id="rId49" Type="http://schemas.openxmlformats.org/officeDocument/2006/relationships/hyperlink" Target="https://wa.me/5493516521368?text=Hola%21%20Quisiera%20consultar%20por%20el%20perfume%20ASAD" TargetMode="External"/><Relationship Id="rId50" Type="http://schemas.openxmlformats.org/officeDocument/2006/relationships/hyperlink" Target="https://wa.me/5493516521368?text=Hola%21%20Quisiera%20consultar%20por%20el%20perfume%20ASAD%20BOURBON" TargetMode="External"/><Relationship Id="rId51" Type="http://schemas.openxmlformats.org/officeDocument/2006/relationships/hyperlink" Target="https://wa.me/5493516521368?text=Hola%21%20Quisiera%20consultar%20por%20el%20perfume%20ASAD%20ELIXIR" TargetMode="External"/><Relationship Id="rId52" Type="http://schemas.openxmlformats.org/officeDocument/2006/relationships/hyperlink" Target="https://wa.me/5493516521368?text=Hola%21%20Quisiera%20consultar%20por%20el%20perfume%20ASAD%20ZANZIBAR" TargetMode="External"/><Relationship Id="rId53" Type="http://schemas.openxmlformats.org/officeDocument/2006/relationships/hyperlink" Target="https://wa.me/5493516521368?text=Hola%21%20Quisiera%20consultar%20por%20el%20perfume%20ATLAS%20LATTAFA" TargetMode="External"/><Relationship Id="rId54" Type="http://schemas.openxmlformats.org/officeDocument/2006/relationships/hyperlink" Target="https://wa.me/5493516521368?text=Hola%21%20Quisiera%20consultar%20por%20el%20perfume%20BADEE%20AL%20OUD%20AMETHYST" TargetMode="External"/><Relationship Id="rId55" Type="http://schemas.openxmlformats.org/officeDocument/2006/relationships/hyperlink" Target="https://wa.me/5493516521368?text=Hola%21%20Quisiera%20consultar%20por%20el%20perfume%20BADEE%20AL%20OUD%20FOR%20GLORY" TargetMode="External"/><Relationship Id="rId56" Type="http://schemas.openxmlformats.org/officeDocument/2006/relationships/hyperlink" Target="https://wa.me/5493516521368?text=Hola%21%20Quisiera%20consultar%20por%20el%20perfume%20BADEE%20AL%20OUD%20NOBLE%20BLUSH" TargetMode="External"/><Relationship Id="rId57" Type="http://schemas.openxmlformats.org/officeDocument/2006/relationships/hyperlink" Target="https://wa.me/5493516521368?text=Hola%21%20Quisiera%20consultar%20por%20el%20perfume%20BADEE%20AL%20OUD%20SUBLIME" TargetMode="External"/><Relationship Id="rId58" Type="http://schemas.openxmlformats.org/officeDocument/2006/relationships/hyperlink" Target="https://wa.me/5493516521368?text=Hola%21%20Quisiera%20consultar%20por%20el%20perfume%20CONFIDENTIAL%20GOLD" TargetMode="External"/><Relationship Id="rId59" Type="http://schemas.openxmlformats.org/officeDocument/2006/relationships/hyperlink" Target="https://wa.me/5493516521368?text=Hola%21%20Quisiera%20consultar%20por%20el%20perfume%20COPA%20DEL%20MUNDO" TargetMode="External"/><Relationship Id="rId60" Type="http://schemas.openxmlformats.org/officeDocument/2006/relationships/hyperlink" Target="https://wa.me/5493516521368?text=Hola%21%20Quisiera%20consultar%20por%20el%20perfume%20ECLAIRE" TargetMode="External"/><Relationship Id="rId61" Type="http://schemas.openxmlformats.org/officeDocument/2006/relationships/hyperlink" Target="https://wa.me/5493516521368?text=Hola%21%20Quisiera%20consultar%20por%20el%20perfume%20EMAAN%20LATTAFA" TargetMode="External"/><Relationship Id="rId62" Type="http://schemas.openxmlformats.org/officeDocument/2006/relationships/hyperlink" Target="https://wa.me/5493516521368?text=Hola%21%20Quisiera%20consultar%20por%20el%20perfume%20EMEER" TargetMode="External"/><Relationship Id="rId63" Type="http://schemas.openxmlformats.org/officeDocument/2006/relationships/hyperlink" Target="https://wa.me/5493516521368?text=Hola%21%20Quisiera%20consultar%20por%20el%20perfume%20FAKHAR%20BLACK" TargetMode="External"/><Relationship Id="rId64" Type="http://schemas.openxmlformats.org/officeDocument/2006/relationships/hyperlink" Target="https://wa.me/5493516521368?text=Hola%21%20Quisiera%20consultar%20por%20el%20perfume%20FAKHAR%20GOLD" TargetMode="External"/><Relationship Id="rId65" Type="http://schemas.openxmlformats.org/officeDocument/2006/relationships/hyperlink" Target="https://wa.me/5493516521368?text=Hola%21%20Quisiera%20consultar%20por%20el%20perfume%20FAKHAR%20ROSA" TargetMode="External"/><Relationship Id="rId66" Type="http://schemas.openxmlformats.org/officeDocument/2006/relationships/hyperlink" Target="https://wa.me/5493516521368?text=Hola%21%20Quisiera%20consultar%20por%20el%20perfume%20FAKHAR%20SILVER" TargetMode="External"/><Relationship Id="rId67" Type="http://schemas.openxmlformats.org/officeDocument/2006/relationships/hyperlink" Target="https://wa.me/5493516521368?text=Hola%21%20Quisiera%20consultar%20por%20el%20perfume%20HABIK%20FOR%20MEN" TargetMode="External"/><Relationship Id="rId68" Type="http://schemas.openxmlformats.org/officeDocument/2006/relationships/hyperlink" Target="https://wa.me/5493516521368?text=Hola%21%20Quisiera%20consultar%20por%20el%20perfume%20HAYA" TargetMode="External"/><Relationship Id="rId69" Type="http://schemas.openxmlformats.org/officeDocument/2006/relationships/hyperlink" Target="https://wa.me/5493516521368?text=Hola%21%20Quisiera%20consultar%20por%20el%20perfume%20HAYAATI" TargetMode="External"/><Relationship Id="rId70" Type="http://schemas.openxmlformats.org/officeDocument/2006/relationships/hyperlink" Target="https://wa.me/5493516521368?text=Hola%21%20Quisiera%20consultar%20por%20el%20perfume%20HAYAATI%20AL%20MALEKI" TargetMode="External"/><Relationship Id="rId71" Type="http://schemas.openxmlformats.org/officeDocument/2006/relationships/hyperlink" Target="https://wa.me/5493516521368?text=Hola%21%20Quisiera%20consultar%20por%20el%20perfume%20HAYAATI%20ROSA" TargetMode="External"/><Relationship Id="rId72" Type="http://schemas.openxmlformats.org/officeDocument/2006/relationships/hyperlink" Target="https://wa.me/5493516521368?text=Hola%21%20Quisiera%20consultar%20por%20el%20perfume%20HER%20CONFESSION" TargetMode="External"/><Relationship Id="rId73" Type="http://schemas.openxmlformats.org/officeDocument/2006/relationships/hyperlink" Target="https://wa.me/5493516521368?text=Hola%21%20Quisiera%20consultar%20por%20el%20perfume%20HIS%20CONFESSION" TargetMode="External"/><Relationship Id="rId74" Type="http://schemas.openxmlformats.org/officeDocument/2006/relationships/hyperlink" Target="https://wa.me/5493516521368?text=Hola%21%20Quisiera%20consultar%20por%20el%20perfume%20HONOR%20AND%20GLORY" TargetMode="External"/><Relationship Id="rId75" Type="http://schemas.openxmlformats.org/officeDocument/2006/relationships/hyperlink" Target="https://wa.me/5493516521368?text=Hola%21%20Quisiera%20consultar%20por%20el%20perfume%20KHAMRAH" TargetMode="External"/><Relationship Id="rId76" Type="http://schemas.openxmlformats.org/officeDocument/2006/relationships/hyperlink" Target="https://wa.me/5493516521368?text=Hola%21%20Quisiera%20consultar%20por%20el%20perfume%20KHAMRAH%20DUKHAN" TargetMode="External"/><Relationship Id="rId77" Type="http://schemas.openxmlformats.org/officeDocument/2006/relationships/hyperlink" Target="https://wa.me/5493516521368?text=Hola%21%20Quisiera%20consultar%20por%20el%20perfume%20KHAMRAH%20QAHWA" TargetMode="External"/><Relationship Id="rId78" Type="http://schemas.openxmlformats.org/officeDocument/2006/relationships/hyperlink" Target="https://wa.me/5493516521368?text=Hola%21%20Quisiera%20consultar%20por%20el%20perfume%20KHAMRAH%20WAHA" TargetMode="External"/><Relationship Id="rId79" Type="http://schemas.openxmlformats.org/officeDocument/2006/relationships/hyperlink" Target="https://wa.me/5493516521368?text=Hola%21%20Quisiera%20consultar%20por%20el%20perfume%20KHANJAR" TargetMode="External"/><Relationship Id="rId80" Type="http://schemas.openxmlformats.org/officeDocument/2006/relationships/hyperlink" Target="https://wa.me/5493516521368?text=Hola%21%20Quisiera%20consultar%20por%20el%20perfume%20KIT%20ART%20OF%20UNIVERSE" TargetMode="External"/><Relationship Id="rId81" Type="http://schemas.openxmlformats.org/officeDocument/2006/relationships/hyperlink" Target="https://wa.me/5493516521368?text=Hola%21%20Quisiera%20consultar%20por%20el%20perfume%20KIT%20ASAD" TargetMode="External"/><Relationship Id="rId82" Type="http://schemas.openxmlformats.org/officeDocument/2006/relationships/hyperlink" Target="https://wa.me/5493516521368?text=Hola%21%20Quisiera%20consultar%20por%20el%20perfume%20KIT%20PISA" TargetMode="External"/><Relationship Id="rId83" Type="http://schemas.openxmlformats.org/officeDocument/2006/relationships/hyperlink" Target="https://wa.me/5493516521368?text=Hola%21%20Quisiera%20consultar%20por%20el%20perfume%20KIT%20YARA" TargetMode="External"/><Relationship Id="rId84" Type="http://schemas.openxmlformats.org/officeDocument/2006/relationships/hyperlink" Target="https://wa.me/5493516521368?text=Hola%21%20Quisiera%20consultar%20por%20el%20perfume%20MAYAR" TargetMode="External"/><Relationship Id="rId85" Type="http://schemas.openxmlformats.org/officeDocument/2006/relationships/hyperlink" Target="https://wa.me/5493516521368?text=Hola%21%20Quisiera%20consultar%20por%20el%20perfume%20MAYAR%20CHERRY%20INTENSE" TargetMode="External"/><Relationship Id="rId86" Type="http://schemas.openxmlformats.org/officeDocument/2006/relationships/hyperlink" Target="https://wa.me/5493516521368?text=Hola%21%20Quisiera%20consultar%20por%20el%20perfume%20MAYAR%20NATURAL" TargetMode="External"/><Relationship Id="rId87" Type="http://schemas.openxmlformats.org/officeDocument/2006/relationships/hyperlink" Target="https://wa.me/5493516521368?text=Hola%21%20Quisiera%20consultar%20por%20el%20perfume%20MAYAR%20NATURAL%20INTENSE" TargetMode="External"/><Relationship Id="rId88" Type="http://schemas.openxmlformats.org/officeDocument/2006/relationships/hyperlink" Target="https://wa.me/5493516521368?text=Hola%21%20Quisiera%20consultar%20por%20el%20perfume%20MAYAR%20PISA%20PRIVE" TargetMode="External"/><Relationship Id="rId89" Type="http://schemas.openxmlformats.org/officeDocument/2006/relationships/hyperlink" Target="https://wa.me/5493516521368?text=Hola%21%20Quisiera%20consultar%20por%20el%20perfume%20MUSAMAN%20BLACK" TargetMode="External"/><Relationship Id="rId90" Type="http://schemas.openxmlformats.org/officeDocument/2006/relationships/hyperlink" Target="https://wa.me/5493516521368?text=Hola%21%20Quisiera%20consultar%20por%20el%20perfume%20MUSAMAN%20WHITE" TargetMode="External"/><Relationship Id="rId91" Type="http://schemas.openxmlformats.org/officeDocument/2006/relationships/hyperlink" Target="https://wa.me/5493516521368?text=Hola%21%20Quisiera%20consultar%20por%20el%20perfume%20NEBRAS%20PRIDE" TargetMode="External"/><Relationship Id="rId92" Type="http://schemas.openxmlformats.org/officeDocument/2006/relationships/hyperlink" Target="https://wa.me/5493516521368?text=Hola%21%20Quisiera%20consultar%20por%20el%20perfume%20NOBLE%20BLUSH" TargetMode="External"/><Relationship Id="rId93" Type="http://schemas.openxmlformats.org/officeDocument/2006/relationships/hyperlink" Target="https://wa.me/5493516521368?text=Hola%21%20Quisiera%20consultar%20por%20el%20perfume%20OPULET%20DUBAI" TargetMode="External"/><Relationship Id="rId94" Type="http://schemas.openxmlformats.org/officeDocument/2006/relationships/hyperlink" Target="https://wa.me/5493516521368?text=Hola%21%20Quisiera%20consultar%20por%20el%20perfume%20PISA" TargetMode="External"/><Relationship Id="rId95" Type="http://schemas.openxmlformats.org/officeDocument/2006/relationships/hyperlink" Target="https://wa.me/5493516521368?text=Hola%21%20Quisiera%20consultar%20por%20el%20perfume%20QAED%20AL%20FURSAN" TargetMode="External"/><Relationship Id="rId96" Type="http://schemas.openxmlformats.org/officeDocument/2006/relationships/hyperlink" Target="https://wa.me/5493516521368?text=Hola%21%20Quisiera%20consultar%20por%20el%20perfume%20QAED%20UNLIMITED" TargetMode="External"/><Relationship Id="rId97" Type="http://schemas.openxmlformats.org/officeDocument/2006/relationships/hyperlink" Target="https://wa.me/5493516521368?text=Hola%21%20Quisiera%20consultar%20por%20el%20perfume%20QAED%20UNTAMED" TargetMode="External"/><Relationship Id="rId98" Type="http://schemas.openxmlformats.org/officeDocument/2006/relationships/hyperlink" Target="https://wa.me/5493516521368?text=Hola%21%20Quisiera%20consultar%20por%20el%20perfume%20TERIAQ" TargetMode="External"/><Relationship Id="rId99" Type="http://schemas.openxmlformats.org/officeDocument/2006/relationships/hyperlink" Target="https://wa.me/5493516521368?text=Hola%21%20Quisiera%20consultar%20por%20el%20perfume%20TERIAQ%20INTENSE" TargetMode="External"/><Relationship Id="rId100" Type="http://schemas.openxmlformats.org/officeDocument/2006/relationships/hyperlink" Target="https://wa.me/5493516521368?text=Hola%21%20Quisiera%20consultar%20por%20el%20perfume%20THE%20KINGDOM" TargetMode="External"/><Relationship Id="rId101" Type="http://schemas.openxmlformats.org/officeDocument/2006/relationships/hyperlink" Target="https://wa.me/5493516521368?text=Hola%21%20Quisiera%20consultar%20por%20el%20perfume%20VICTORIA%20LATTAFA" TargetMode="External"/><Relationship Id="rId102" Type="http://schemas.openxmlformats.org/officeDocument/2006/relationships/hyperlink" Target="https://wa.me/5493516521368?text=Hola%21%20Quisiera%20consultar%20por%20el%20perfume%20VINTAGE%20RADIO" TargetMode="External"/><Relationship Id="rId103" Type="http://schemas.openxmlformats.org/officeDocument/2006/relationships/hyperlink" Target="https://wa.me/5493516521368?text=Hola%21%20Quisiera%20consultar%20por%20el%20perfume%20YARA%20CANDY" TargetMode="External"/><Relationship Id="rId104" Type="http://schemas.openxmlformats.org/officeDocument/2006/relationships/hyperlink" Target="https://wa.me/5493516521368?text=Hola%21%20Quisiera%20consultar%20por%20el%20perfume%20YARA%20ELIXIR" TargetMode="External"/><Relationship Id="rId105" Type="http://schemas.openxmlformats.org/officeDocument/2006/relationships/hyperlink" Target="https://wa.me/5493516521368?text=Hola%21%20Quisiera%20consultar%20por%20el%20perfume%20YARA%20MOI" TargetMode="External"/><Relationship Id="rId106" Type="http://schemas.openxmlformats.org/officeDocument/2006/relationships/hyperlink" Target="https://wa.me/5493516521368?text=Hola%21%20Quisiera%20consultar%20por%20el%20perfume%20YARA%20ROSA" TargetMode="External"/><Relationship Id="rId107" Type="http://schemas.openxmlformats.org/officeDocument/2006/relationships/hyperlink" Target="https://wa.me/5493516521368?text=Hola%21%20Quisiera%20consultar%20por%20el%20perfume%20YARA%20TOUS" TargetMode="External"/><Relationship Id="rId108" Type="http://schemas.openxmlformats.org/officeDocument/2006/relationships/hyperlink" Target="https://wa.me/5493516521368?text=Hola%21%20Quisiera%20consultar%20por%20el%20perfume%20BAROQUE%20EXTREME%20(La%20Rouge%20Baroque%20Extreme)" TargetMode="External"/><Relationship Id="rId109" Type="http://schemas.openxmlformats.org/officeDocument/2006/relationships/hyperlink" Target="https://wa.me/5493516521368?text=Hola%21%20Quisiera%20consultar%20por%20el%20perfume%20BAROQUE%20ROUGE%20540" TargetMode="External"/><Relationship Id="rId110" Type="http://schemas.openxmlformats.org/officeDocument/2006/relationships/hyperlink" Target="https://wa.me/5493516521368?text=Hola%21%20Quisiera%20consultar%20por%20el%20perfume%20DELILAH" TargetMode="External"/><Relationship Id="rId111" Type="http://schemas.openxmlformats.org/officeDocument/2006/relationships/hyperlink" Target="https://wa.me/5493516521368?text=Hola%21%20Quisiera%20consultar%20por%20el%20perfume%20EXTRAVAGANT%20LOVER" TargetMode="External"/><Relationship Id="rId112" Type="http://schemas.openxmlformats.org/officeDocument/2006/relationships/hyperlink" Target="https://wa.me/5493516521368?text=Hola%21%20Quisiera%20consultar%20por%20el%20perfume%20FATIMA%20ROSA" TargetMode="External"/><Relationship Id="rId113" Type="http://schemas.openxmlformats.org/officeDocument/2006/relationships/hyperlink" Target="https://wa.me/5493516521368?text=Hola%21%20Quisiera%20consultar%20por%20el%20perfume%20GLACIER%20BELLA" TargetMode="External"/><Relationship Id="rId114" Type="http://schemas.openxmlformats.org/officeDocument/2006/relationships/hyperlink" Target="https://wa.me/5493516521368?text=Hola%21%20Quisiera%20consultar%20por%20el%20perfume%20GLACIER%20BOLD" TargetMode="External"/><Relationship Id="rId115" Type="http://schemas.openxmlformats.org/officeDocument/2006/relationships/hyperlink" Target="https://wa.me/5493516521368?text=Hola%21%20Quisiera%20consultar%20por%20el%20perfume%20INTRUDE" TargetMode="External"/><Relationship Id="rId116" Type="http://schemas.openxmlformats.org/officeDocument/2006/relationships/hyperlink" Target="https://wa.me/5493516521368?text=Hola%21%20Quisiera%20consultar%20por%20el%20perfume%20JEAN%20LOWE%20INMORTAL" TargetMode="External"/><Relationship Id="rId117" Type="http://schemas.openxmlformats.org/officeDocument/2006/relationships/hyperlink" Target="https://wa.me/5493516521368?text=Hola%21%20Quisiera%20consultar%20por%20el%20perfume%20JEAN%20LOWE%20NOIR" TargetMode="External"/><Relationship Id="rId118" Type="http://schemas.openxmlformats.org/officeDocument/2006/relationships/hyperlink" Target="https://wa.me/5493516521368?text=Hola%21%20Quisiera%20consultar%20por%20el%20perfume%20JEAN%20LOWE%20VIBE" TargetMode="External"/><Relationship Id="rId119" Type="http://schemas.openxmlformats.org/officeDocument/2006/relationships/hyperlink" Target="https://wa.me/5493516521368?text=Hola%21%20Quisiera%20consultar%20por%20el%20perfume%20LA%20BAROQUE%20ROUGE" TargetMode="External"/><Relationship Id="rId120" Type="http://schemas.openxmlformats.org/officeDocument/2006/relationships/hyperlink" Target="https://wa.me/5493516521368?text=Hola%21%20Quisiera%20consultar%20por%20el%20perfume%20LA%20VIVACITE%20EDP" TargetMode="External"/><Relationship Id="rId121" Type="http://schemas.openxmlformats.org/officeDocument/2006/relationships/hyperlink" Target="https://wa.me/5493516521368?text=Hola%21%20Quisiera%20consultar%20por%20el%20perfume%20LA%20VOIE%20EDP" TargetMode="External"/><Relationship Id="rId122" Type="http://schemas.openxmlformats.org/officeDocument/2006/relationships/hyperlink" Target="https://wa.me/5493516521368?text=Hola%21%20Quisiera%20consultar%20por%20el%20perfume%20PAPILLON%20DOOR%20FEM" TargetMode="External"/><Relationship Id="rId123" Type="http://schemas.openxmlformats.org/officeDocument/2006/relationships/hyperlink" Target="https://wa.me/5493516521368?text=Hola%21%20Quisiera%20consultar%20por%20el%20perfume%20PHILOS%20PURA" TargetMode="External"/><Relationship Id="rId124" Type="http://schemas.openxmlformats.org/officeDocument/2006/relationships/hyperlink" Target="https://wa.me/5493516521368?text=Hola%21%20Quisiera%20consultar%20por%20el%20perfume%20ROSE%20SEDUCTION%20VIP" TargetMode="External"/><Relationship Id="rId125" Type="http://schemas.openxmlformats.org/officeDocument/2006/relationships/hyperlink" Target="https://wa.me/5493516521368?text=Hola%21%20Quisiera%20consultar%20por%20el%20perfume%20SALVO%20EDP" TargetMode="External"/><Relationship Id="rId126" Type="http://schemas.openxmlformats.org/officeDocument/2006/relationships/hyperlink" Target="https://wa.me/5493516521368?text=Hola%21%20Quisiera%20consultar%20por%20el%20perfume%20SALVO%20ELIXIR" TargetMode="External"/><Relationship Id="rId127" Type="http://schemas.openxmlformats.org/officeDocument/2006/relationships/hyperlink" Target="https://wa.me/5493516521368?text=Hola%21%20Quisiera%20consultar%20por%20el%20perfume%20SCEPTRE%20MALACHITE" TargetMode="External"/><Relationship Id="rId128" Type="http://schemas.openxmlformats.org/officeDocument/2006/relationships/hyperlink" Target="https://wa.me/5493516521368?text=Hola%21%20Quisiera%20consultar%20por%20el%20perfume%20YEAH%20MAN%20EDP" TargetMode="External"/><Relationship Id="rId129" Type="http://schemas.openxmlformats.org/officeDocument/2006/relationships/hyperlink" Target="https://wa.me/5493516521368?text=Hola%21%20Quisiera%20consultar%20por%20el%20perfume%20YEAH%20MAN%20PARFUM" TargetMode="External"/><Relationship Id="rId130" Type="http://schemas.openxmlformats.org/officeDocument/2006/relationships/hyperlink" Target="https://wa.me/5493516521368?text=Hola%21%20Quisiera%20consultar%20por%20el%20perfume%20YOUR%20TOUCH%20AMBER" TargetMode="External"/><Relationship Id="rId131" Type="http://schemas.openxmlformats.org/officeDocument/2006/relationships/hyperlink" Target="https://wa.me/5493516521368?text=Hola%21%20Quisiera%20consultar%20por%20el%20perfume%20YOUR%20TOUCH%20INTENSE" TargetMode="External"/><Relationship Id="rId132" Type="http://schemas.openxmlformats.org/officeDocument/2006/relationships/hyperlink" Target="https://wa.me/5493516521368?text=Hola%21%20Quisiera%20consultar%20por%20el%20perfume%20DESODORANTE%20200ML" TargetMode="External"/><Relationship Id="rId133" Type="http://schemas.openxmlformats.org/officeDocument/2006/relationships/hyperlink" Target="https://wa.me/5493516521368?text=Hola%21%20Quisiera%20consultar%20por%20el%20perfume%20MINIATURAS" TargetMode="External"/><Relationship Id="rId134" Type="http://schemas.openxmlformats.org/officeDocument/2006/relationships/hyperlink" Target="https://wa.me/5493516521368?text=Hola%21%20Quisiera%20consultar%20por%20el%20perfume%20HAWAS%20BLACK" TargetMode="External"/><Relationship Id="rId135" Type="http://schemas.openxmlformats.org/officeDocument/2006/relationships/hyperlink" Target="https://wa.me/5493516521368?text=Hola%21%20Quisiera%20consultar%20por%20el%20perfume%20HAWAS%20CLASICO" TargetMode="External"/><Relationship Id="rId136" Type="http://schemas.openxmlformats.org/officeDocument/2006/relationships/hyperlink" Target="https://wa.me/5493516521368?text=Hola%21%20Quisiera%20consultar%20por%20el%20perfume%20HAWAS%20DIVA" TargetMode="External"/><Relationship Id="rId137" Type="http://schemas.openxmlformats.org/officeDocument/2006/relationships/hyperlink" Target="https://wa.me/5493516521368?text=Hola%21%20Quisiera%20consultar%20por%20el%20perfume%20HAWAS%20FIRE" TargetMode="External"/><Relationship Id="rId138" Type="http://schemas.openxmlformats.org/officeDocument/2006/relationships/hyperlink" Target="https://wa.me/5493516521368?text=Hola%21%20Quisiera%20consultar%20por%20el%20perfume%20HAWAS%20ICE" TargetMode="External"/><Relationship Id="rId139" Type="http://schemas.openxmlformats.org/officeDocument/2006/relationships/hyperlink" Target="https://wa.me/5493516521368?text=Hola%21%20Quisiera%20consultar%20por%20el%20perfume%20HAWAS%20KOBRA" TargetMode="External"/><Relationship Id="rId140" Type="http://schemas.openxmlformats.org/officeDocument/2006/relationships/hyperlink" Target="https://wa.me/5493516521368?text=Hola%21%20Quisiera%20consultar%20por%20el%20perfume%20HAWAS%20MALIBU" TargetMode="External"/><Relationship Id="rId141" Type="http://schemas.openxmlformats.org/officeDocument/2006/relationships/hyperlink" Target="https://wa.me/5493516521368?text=Hola%21%20Quisiera%20consultar%20por%20el%20perfume%20HAWAS%20TROPICAL" TargetMode="External"/><Relationship Id="rId142" Type="http://schemas.openxmlformats.org/officeDocument/2006/relationships/hyperlink" Target="https://wa.me/5493516521368?text=Hola%21%20Quisiera%20consultar%20por%20el%20perfume%20NOW%20WOMEN" TargetMode="External"/><Relationship Id="rId143" Type="http://schemas.openxmlformats.org/officeDocument/2006/relationships/hyperlink" Target="https://wa.me/5493516521368?text=Hola%21%20Quisiera%20consultar%20por%20el%20perfume%20RAYHAAN%20ELIXIR" TargetMode="External"/><Relationship Id="rId144" Type="http://schemas.openxmlformats.org/officeDocument/2006/relationships/hyperlink" Target="https://wa.me/5493516521368?text=Hola%21%20Quisiera%20consultar%20por%20el%20perfume%20RAYHAAN%20ITALIA" TargetMode="External"/><Relationship Id="rId145" Type="http://schemas.openxmlformats.org/officeDocument/2006/relationships/hyperlink" Target="https://wa.me/5493516521368?text=Hola%21%20Quisiera%20consultar%20por%20el%20perfume%20RAYHAAN%20WOLF" TargetMode="External"/><Relationship Id="rId146" Type="http://schemas.openxmlformats.org/officeDocument/2006/relationships/hyperlink" Target="https://wa.me/5493516521368?text=Hola%21%20Quisiera%20consultar%20por%20el%20perfume%20TROPICAL%20VIBER%20/%20TROPICAL%20VIBES" TargetMode="External"/><Relationship Id="rId147" Type="http://schemas.openxmlformats.org/officeDocument/2006/relationships/hyperlink" Target="https://wa.me/5493516521368?text=Hola%21%20Quisiera%20consultar%20por%20el%20perfume%20ERBA%20PURA" TargetMode="External"/><Relationship Id="rId148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wa.me/5493516521368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4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4"/>
    <col collapsed="false" customWidth="true" hidden="false" outlineLevel="0" max="3" min="3" style="0" width="26"/>
    <col collapsed="false" customWidth="true" hidden="false" outlineLevel="0" max="4" min="4" style="0" width="11"/>
    <col collapsed="false" customWidth="true" hidden="false" outlineLevel="0" max="5" min="5" style="0" width="20"/>
    <col collapsed="false" customWidth="true" hidden="false" outlineLevel="0" max="6" min="6" style="0" width="12"/>
    <col collapsed="false" customWidth="true" hidden="false" outlineLevel="0" max="7" min="7" style="0" width="46"/>
    <col collapsed="false" customWidth="true" hidden="false" outlineLevel="0" max="8" min="8" style="0" width="20"/>
    <col collapsed="false" customWidth="true" hidden="false" outlineLevel="0" max="9" min="9" style="0" width="15"/>
    <col collapsed="false" customWidth="true" hidden="false" outlineLevel="0" max="10" min="10" style="0" width="12"/>
    <col collapsed="false" customWidth="true" hidden="false" outlineLevel="0" max="11" min="11" style="0" width="14"/>
    <col collapsed="false" customWidth="true" hidden="false" outlineLevel="0" max="12" min="12" style="0" width="30"/>
    <col collapsed="false" customWidth="true" hidden="false" outlineLevel="0" max="13" min="13" style="0" width="14"/>
    <col collapsed="false" customWidth="true" hidden="false" outlineLevel="0" max="14" min="14" style="0" width="15"/>
    <col collapsed="false" customWidth="true" hidden="false" outlineLevel="0" max="15" min="15" style="0" width="22"/>
    <col collapsed="false" customWidth="true" hidden="false" outlineLevel="0" max="16" min="16" style="0" width="30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customFormat="false" ht="23.85" hidden="false" customHeight="false" outlineLevel="0" collapsed="false">
      <c r="A2" s="2" t="n">
        <v>1</v>
      </c>
      <c r="B2" s="3" t="s">
        <v>16</v>
      </c>
      <c r="C2" s="3" t="s">
        <v>17</v>
      </c>
      <c r="D2" s="2" t="s">
        <v>18</v>
      </c>
      <c r="E2" s="3" t="s">
        <v>19</v>
      </c>
      <c r="F2" s="3" t="s">
        <v>20</v>
      </c>
      <c r="G2" s="3" t="s">
        <v>21</v>
      </c>
      <c r="H2" s="3" t="s">
        <v>22</v>
      </c>
      <c r="I2" s="3" t="s">
        <v>23</v>
      </c>
      <c r="J2" s="3" t="n">
        <v>100</v>
      </c>
      <c r="K2" s="3" t="n">
        <v>2022</v>
      </c>
      <c r="L2" s="3" t="s">
        <v>24</v>
      </c>
      <c r="M2" s="4" t="n">
        <v>75508</v>
      </c>
      <c r="N2" s="5" t="s">
        <v>25</v>
      </c>
      <c r="O2" s="6" t="s">
        <v>26</v>
      </c>
      <c r="P2" s="3" t="s">
        <v>27</v>
      </c>
    </row>
    <row r="3" customFormat="false" ht="23.85" hidden="false" customHeight="false" outlineLevel="0" collapsed="false">
      <c r="A3" s="2" t="n">
        <v>2</v>
      </c>
      <c r="B3" s="3" t="s">
        <v>16</v>
      </c>
      <c r="C3" s="3" t="s">
        <v>28</v>
      </c>
      <c r="D3" s="2" t="s">
        <v>29</v>
      </c>
      <c r="E3" s="3" t="s">
        <v>30</v>
      </c>
      <c r="F3" s="3" t="s">
        <v>31</v>
      </c>
      <c r="G3" s="3" t="s">
        <v>32</v>
      </c>
      <c r="H3" s="3" t="s">
        <v>22</v>
      </c>
      <c r="I3" s="3" t="s">
        <v>23</v>
      </c>
      <c r="J3" s="3" t="n">
        <v>100</v>
      </c>
      <c r="K3" s="3" t="n">
        <v>2022</v>
      </c>
      <c r="L3" s="3" t="s">
        <v>33</v>
      </c>
      <c r="M3" s="4" t="n">
        <v>87411</v>
      </c>
      <c r="N3" s="5" t="s">
        <v>34</v>
      </c>
      <c r="O3" s="6" t="s">
        <v>26</v>
      </c>
      <c r="P3" s="3" t="s">
        <v>35</v>
      </c>
    </row>
    <row r="4" customFormat="false" ht="15" hidden="false" customHeight="false" outlineLevel="0" collapsed="false">
      <c r="A4" s="2" t="n">
        <v>3</v>
      </c>
      <c r="B4" s="3" t="s">
        <v>16</v>
      </c>
      <c r="C4" s="3" t="s">
        <v>36</v>
      </c>
      <c r="D4" s="2" t="s">
        <v>29</v>
      </c>
      <c r="E4" s="3" t="s">
        <v>37</v>
      </c>
      <c r="F4" s="3" t="s">
        <v>20</v>
      </c>
      <c r="G4" s="3" t="s">
        <v>38</v>
      </c>
      <c r="H4" s="3" t="s">
        <v>22</v>
      </c>
      <c r="I4" s="3" t="s">
        <v>23</v>
      </c>
      <c r="J4" s="3" t="n">
        <v>100</v>
      </c>
      <c r="K4" s="3" t="n">
        <v>2020</v>
      </c>
      <c r="L4" s="3" t="s">
        <v>39</v>
      </c>
      <c r="M4" s="4" t="n">
        <v>70000</v>
      </c>
      <c r="N4" s="5" t="s">
        <v>40</v>
      </c>
      <c r="O4" s="6" t="s">
        <v>26</v>
      </c>
      <c r="P4" s="3" t="s">
        <v>41</v>
      </c>
    </row>
    <row r="5" customFormat="false" ht="15" hidden="false" customHeight="false" outlineLevel="0" collapsed="false">
      <c r="A5" s="2" t="n">
        <v>4</v>
      </c>
      <c r="B5" s="3" t="s">
        <v>16</v>
      </c>
      <c r="C5" s="3" t="s">
        <v>42</v>
      </c>
      <c r="D5" s="2" t="s">
        <v>29</v>
      </c>
      <c r="E5" s="3" t="s">
        <v>37</v>
      </c>
      <c r="F5" s="3" t="s">
        <v>20</v>
      </c>
      <c r="G5" s="3" t="s">
        <v>43</v>
      </c>
      <c r="H5" s="3" t="s">
        <v>44</v>
      </c>
      <c r="I5" s="3" t="s">
        <v>45</v>
      </c>
      <c r="J5" s="3" t="n">
        <v>100</v>
      </c>
      <c r="K5" s="3" t="n">
        <v>2025</v>
      </c>
      <c r="L5" s="3" t="s">
        <v>39</v>
      </c>
      <c r="M5" s="4" t="n">
        <v>107277</v>
      </c>
      <c r="N5" s="5" t="s">
        <v>46</v>
      </c>
      <c r="O5" s="6" t="s">
        <v>26</v>
      </c>
      <c r="P5" s="3" t="s">
        <v>47</v>
      </c>
    </row>
    <row r="6" customFormat="false" ht="23.85" hidden="false" customHeight="false" outlineLevel="0" collapsed="false">
      <c r="A6" s="2" t="n">
        <v>5</v>
      </c>
      <c r="B6" s="3" t="s">
        <v>16</v>
      </c>
      <c r="C6" s="3" t="s">
        <v>48</v>
      </c>
      <c r="D6" s="2" t="s">
        <v>29</v>
      </c>
      <c r="E6" s="3" t="s">
        <v>49</v>
      </c>
      <c r="F6" s="3" t="s">
        <v>20</v>
      </c>
      <c r="G6" s="3" t="s">
        <v>50</v>
      </c>
      <c r="H6" s="3" t="s">
        <v>22</v>
      </c>
      <c r="I6" s="3" t="s">
        <v>23</v>
      </c>
      <c r="J6" s="3" t="n">
        <v>100</v>
      </c>
      <c r="K6" s="3" t="n">
        <v>2026</v>
      </c>
      <c r="L6" s="3" t="s">
        <v>51</v>
      </c>
      <c r="M6" s="4" t="n">
        <v>140763</v>
      </c>
      <c r="N6" s="5" t="s">
        <v>52</v>
      </c>
      <c r="O6" s="6" t="s">
        <v>26</v>
      </c>
      <c r="P6" s="3" t="s">
        <v>53</v>
      </c>
    </row>
    <row r="7" customFormat="false" ht="15" hidden="false" customHeight="false" outlineLevel="0" collapsed="false">
      <c r="A7" s="2" t="n">
        <v>6</v>
      </c>
      <c r="B7" s="3" t="s">
        <v>16</v>
      </c>
      <c r="C7" s="3" t="s">
        <v>54</v>
      </c>
      <c r="D7" s="2" t="s">
        <v>29</v>
      </c>
      <c r="E7" s="3" t="s">
        <v>19</v>
      </c>
      <c r="F7" s="3" t="s">
        <v>20</v>
      </c>
      <c r="G7" s="3" t="s">
        <v>55</v>
      </c>
      <c r="H7" s="3" t="s">
        <v>22</v>
      </c>
      <c r="I7" s="3" t="s">
        <v>23</v>
      </c>
      <c r="J7" s="3" t="n">
        <v>100</v>
      </c>
      <c r="K7" s="3" t="n">
        <v>2024</v>
      </c>
      <c r="L7" s="3" t="s">
        <v>39</v>
      </c>
      <c r="M7" s="4" t="n">
        <v>106491</v>
      </c>
      <c r="N7" s="5" t="s">
        <v>56</v>
      </c>
      <c r="O7" s="6" t="s">
        <v>26</v>
      </c>
      <c r="P7" s="3" t="s">
        <v>57</v>
      </c>
    </row>
    <row r="8" customFormat="false" ht="15" hidden="false" customHeight="false" outlineLevel="0" collapsed="false">
      <c r="A8" s="2" t="n">
        <v>7</v>
      </c>
      <c r="B8" s="3" t="s">
        <v>16</v>
      </c>
      <c r="C8" s="3" t="s">
        <v>58</v>
      </c>
      <c r="D8" s="2" t="s">
        <v>29</v>
      </c>
      <c r="E8" s="3" t="s">
        <v>59</v>
      </c>
      <c r="F8" s="3" t="s">
        <v>20</v>
      </c>
      <c r="G8" s="3" t="s">
        <v>60</v>
      </c>
      <c r="H8" s="3" t="s">
        <v>22</v>
      </c>
      <c r="I8" s="3" t="s">
        <v>23</v>
      </c>
      <c r="J8" s="3" t="n">
        <v>100</v>
      </c>
      <c r="K8" s="3" t="n">
        <v>2021</v>
      </c>
      <c r="L8" s="3" t="s">
        <v>61</v>
      </c>
      <c r="M8" s="4" t="n">
        <v>79874</v>
      </c>
      <c r="N8" s="5" t="s">
        <v>62</v>
      </c>
      <c r="O8" s="6" t="s">
        <v>26</v>
      </c>
      <c r="P8" s="3" t="s">
        <v>63</v>
      </c>
    </row>
    <row r="9" customFormat="false" ht="15" hidden="false" customHeight="false" outlineLevel="0" collapsed="false">
      <c r="A9" s="2" t="n">
        <v>8</v>
      </c>
      <c r="B9" s="3" t="s">
        <v>16</v>
      </c>
      <c r="C9" s="3" t="s">
        <v>64</v>
      </c>
      <c r="D9" s="2" t="s">
        <v>29</v>
      </c>
      <c r="E9" s="3" t="s">
        <v>19</v>
      </c>
      <c r="F9" s="3" t="s">
        <v>20</v>
      </c>
      <c r="G9" s="3" t="s">
        <v>65</v>
      </c>
      <c r="H9" s="3" t="s">
        <v>22</v>
      </c>
      <c r="I9" s="3" t="s">
        <v>23</v>
      </c>
      <c r="J9" s="3" t="n">
        <v>100</v>
      </c>
      <c r="K9" s="3" t="n">
        <v>2025</v>
      </c>
      <c r="L9" s="3" t="s">
        <v>33</v>
      </c>
      <c r="M9" s="4"/>
      <c r="N9" s="5" t="s">
        <v>66</v>
      </c>
      <c r="O9" s="6" t="s">
        <v>26</v>
      </c>
      <c r="P9" s="3"/>
    </row>
    <row r="10" customFormat="false" ht="23.85" hidden="false" customHeight="false" outlineLevel="0" collapsed="false">
      <c r="A10" s="2" t="n">
        <v>9</v>
      </c>
      <c r="B10" s="3" t="s">
        <v>67</v>
      </c>
      <c r="C10" s="3" t="s">
        <v>68</v>
      </c>
      <c r="D10" s="2" t="s">
        <v>18</v>
      </c>
      <c r="E10" s="3" t="s">
        <v>19</v>
      </c>
      <c r="F10" s="3" t="s">
        <v>20</v>
      </c>
      <c r="G10" s="3" t="s">
        <v>69</v>
      </c>
      <c r="H10" s="3" t="s">
        <v>22</v>
      </c>
      <c r="I10" s="3" t="s">
        <v>23</v>
      </c>
      <c r="J10" s="3" t="n">
        <v>100</v>
      </c>
      <c r="K10" s="3" t="n">
        <v>2024</v>
      </c>
      <c r="L10" s="3" t="s">
        <v>51</v>
      </c>
      <c r="M10" s="4" t="n">
        <v>122112</v>
      </c>
      <c r="N10" s="5" t="s">
        <v>70</v>
      </c>
      <c r="O10" s="6" t="s">
        <v>26</v>
      </c>
      <c r="P10" s="3" t="s">
        <v>71</v>
      </c>
    </row>
    <row r="11" customFormat="false" ht="23.85" hidden="false" customHeight="false" outlineLevel="0" collapsed="false">
      <c r="A11" s="2" t="n">
        <v>10</v>
      </c>
      <c r="B11" s="3" t="s">
        <v>67</v>
      </c>
      <c r="C11" s="3" t="s">
        <v>72</v>
      </c>
      <c r="D11" s="2" t="s">
        <v>29</v>
      </c>
      <c r="E11" s="3" t="s">
        <v>49</v>
      </c>
      <c r="F11" s="3" t="s">
        <v>20</v>
      </c>
      <c r="G11" s="3" t="s">
        <v>73</v>
      </c>
      <c r="H11" s="3" t="s">
        <v>22</v>
      </c>
      <c r="I11" s="3" t="s">
        <v>23</v>
      </c>
      <c r="J11" s="3" t="n">
        <v>100</v>
      </c>
      <c r="K11" s="3" t="s">
        <v>66</v>
      </c>
      <c r="L11" s="3" t="s">
        <v>66</v>
      </c>
      <c r="M11" s="4" t="n">
        <v>125690</v>
      </c>
      <c r="N11" s="5" t="s">
        <v>74</v>
      </c>
      <c r="O11" s="6" t="s">
        <v>26</v>
      </c>
      <c r="P11" s="3" t="s">
        <v>75</v>
      </c>
    </row>
    <row r="12" customFormat="false" ht="23.85" hidden="false" customHeight="false" outlineLevel="0" collapsed="false">
      <c r="A12" s="2" t="n">
        <v>11</v>
      </c>
      <c r="B12" s="3" t="s">
        <v>67</v>
      </c>
      <c r="C12" s="3" t="s">
        <v>76</v>
      </c>
      <c r="D12" s="2" t="s">
        <v>29</v>
      </c>
      <c r="E12" s="3" t="s">
        <v>37</v>
      </c>
      <c r="F12" s="3" t="s">
        <v>20</v>
      </c>
      <c r="G12" s="3" t="s">
        <v>77</v>
      </c>
      <c r="H12" s="3" t="s">
        <v>78</v>
      </c>
      <c r="I12" s="3" t="s">
        <v>23</v>
      </c>
      <c r="J12" s="3" t="n">
        <v>120</v>
      </c>
      <c r="K12" s="3" t="s">
        <v>66</v>
      </c>
      <c r="L12" s="3" t="s">
        <v>66</v>
      </c>
      <c r="M12" s="4" t="n">
        <v>131103</v>
      </c>
      <c r="N12" s="5" t="s">
        <v>79</v>
      </c>
      <c r="O12" s="6" t="s">
        <v>26</v>
      </c>
      <c r="P12" s="3" t="s">
        <v>80</v>
      </c>
    </row>
    <row r="13" customFormat="false" ht="23.85" hidden="false" customHeight="false" outlineLevel="0" collapsed="false">
      <c r="A13" s="2" t="n">
        <v>12</v>
      </c>
      <c r="B13" s="3" t="s">
        <v>81</v>
      </c>
      <c r="C13" s="3" t="s">
        <v>82</v>
      </c>
      <c r="D13" s="2" t="s">
        <v>18</v>
      </c>
      <c r="E13" s="3" t="s">
        <v>83</v>
      </c>
      <c r="F13" s="3" t="s">
        <v>20</v>
      </c>
      <c r="G13" s="3" t="s">
        <v>84</v>
      </c>
      <c r="H13" s="3" t="s">
        <v>22</v>
      </c>
      <c r="I13" s="3" t="s">
        <v>23</v>
      </c>
      <c r="J13" s="3" t="n">
        <v>100</v>
      </c>
      <c r="K13" s="3" t="s">
        <v>66</v>
      </c>
      <c r="L13" s="3" t="s">
        <v>66</v>
      </c>
      <c r="M13" s="4" t="n">
        <v>45696</v>
      </c>
      <c r="N13" s="5" t="s">
        <v>85</v>
      </c>
      <c r="O13" s="6" t="s">
        <v>26</v>
      </c>
      <c r="P13" s="3" t="s">
        <v>86</v>
      </c>
    </row>
    <row r="14" customFormat="false" ht="23.85" hidden="false" customHeight="false" outlineLevel="0" collapsed="false">
      <c r="A14" s="2" t="n">
        <v>13</v>
      </c>
      <c r="B14" s="3" t="s">
        <v>87</v>
      </c>
      <c r="C14" s="3" t="s">
        <v>88</v>
      </c>
      <c r="D14" s="2" t="s">
        <v>18</v>
      </c>
      <c r="E14" s="3" t="s">
        <v>37</v>
      </c>
      <c r="F14" s="3" t="s">
        <v>20</v>
      </c>
      <c r="G14" s="3" t="s">
        <v>89</v>
      </c>
      <c r="H14" s="3" t="s">
        <v>23</v>
      </c>
      <c r="I14" s="3" t="s">
        <v>23</v>
      </c>
      <c r="J14" s="3"/>
      <c r="K14" s="3" t="n">
        <v>2025</v>
      </c>
      <c r="L14" s="3" t="s">
        <v>61</v>
      </c>
      <c r="M14" s="4" t="n">
        <v>98476</v>
      </c>
      <c r="N14" s="5" t="s">
        <v>90</v>
      </c>
      <c r="O14" s="6" t="s">
        <v>26</v>
      </c>
      <c r="P14" s="3" t="s">
        <v>91</v>
      </c>
    </row>
    <row r="15" customFormat="false" ht="35.05" hidden="false" customHeight="false" outlineLevel="0" collapsed="false">
      <c r="A15" s="2" t="n">
        <v>14</v>
      </c>
      <c r="B15" s="3" t="s">
        <v>87</v>
      </c>
      <c r="C15" s="3" t="s">
        <v>92</v>
      </c>
      <c r="D15" s="2" t="s">
        <v>29</v>
      </c>
      <c r="E15" s="3" t="s">
        <v>59</v>
      </c>
      <c r="F15" s="3" t="s">
        <v>93</v>
      </c>
      <c r="G15" s="3" t="s">
        <v>94</v>
      </c>
      <c r="H15" s="3" t="s">
        <v>95</v>
      </c>
      <c r="I15" s="3" t="s">
        <v>23</v>
      </c>
      <c r="J15" s="3" t="n">
        <v>105</v>
      </c>
      <c r="K15" s="3" t="n">
        <v>2022</v>
      </c>
      <c r="L15" s="3" t="s">
        <v>96</v>
      </c>
      <c r="M15" s="4" t="n">
        <v>97809</v>
      </c>
      <c r="N15" s="5" t="s">
        <v>97</v>
      </c>
      <c r="O15" s="6" t="s">
        <v>26</v>
      </c>
      <c r="P15" s="3" t="s">
        <v>98</v>
      </c>
    </row>
    <row r="16" customFormat="false" ht="35.05" hidden="false" customHeight="false" outlineLevel="0" collapsed="false">
      <c r="A16" s="2" t="n">
        <v>15</v>
      </c>
      <c r="B16" s="3" t="s">
        <v>87</v>
      </c>
      <c r="C16" s="3" t="s">
        <v>99</v>
      </c>
      <c r="D16" s="2" t="s">
        <v>29</v>
      </c>
      <c r="E16" s="3" t="s">
        <v>30</v>
      </c>
      <c r="F16" s="3" t="s">
        <v>93</v>
      </c>
      <c r="G16" s="3" t="s">
        <v>100</v>
      </c>
      <c r="H16" s="3" t="s">
        <v>23</v>
      </c>
      <c r="I16" s="3" t="s">
        <v>23</v>
      </c>
      <c r="J16" s="3"/>
      <c r="K16" s="3" t="n">
        <v>2015</v>
      </c>
      <c r="L16" s="3" t="s">
        <v>39</v>
      </c>
      <c r="M16" s="4" t="n">
        <v>84429</v>
      </c>
      <c r="N16" s="5" t="s">
        <v>101</v>
      </c>
      <c r="O16" s="6" t="s">
        <v>26</v>
      </c>
      <c r="P16" s="3" t="s">
        <v>102</v>
      </c>
    </row>
    <row r="17" customFormat="false" ht="23.85" hidden="false" customHeight="false" outlineLevel="0" collapsed="false">
      <c r="A17" s="2" t="n">
        <v>16</v>
      </c>
      <c r="B17" s="3" t="s">
        <v>87</v>
      </c>
      <c r="C17" s="3" t="s">
        <v>103</v>
      </c>
      <c r="D17" s="2" t="s">
        <v>29</v>
      </c>
      <c r="E17" s="3" t="s">
        <v>49</v>
      </c>
      <c r="F17" s="3" t="s">
        <v>20</v>
      </c>
      <c r="G17" s="3" t="s">
        <v>104</v>
      </c>
      <c r="H17" s="3" t="s">
        <v>22</v>
      </c>
      <c r="I17" s="3" t="s">
        <v>23</v>
      </c>
      <c r="J17" s="3" t="n">
        <v>100</v>
      </c>
      <c r="K17" s="3" t="n">
        <v>2025</v>
      </c>
      <c r="L17" s="3" t="s">
        <v>51</v>
      </c>
      <c r="M17" s="4" t="n">
        <v>94017</v>
      </c>
      <c r="N17" s="5" t="s">
        <v>105</v>
      </c>
      <c r="O17" s="6" t="s">
        <v>26</v>
      </c>
      <c r="P17" s="3" t="s">
        <v>106</v>
      </c>
    </row>
    <row r="18" customFormat="false" ht="23.85" hidden="false" customHeight="false" outlineLevel="0" collapsed="false">
      <c r="A18" s="2" t="n">
        <v>17</v>
      </c>
      <c r="B18" s="3" t="s">
        <v>87</v>
      </c>
      <c r="C18" s="3" t="s">
        <v>107</v>
      </c>
      <c r="D18" s="2" t="s">
        <v>29</v>
      </c>
      <c r="E18" s="3" t="s">
        <v>59</v>
      </c>
      <c r="F18" s="3" t="s">
        <v>93</v>
      </c>
      <c r="G18" s="3" t="s">
        <v>108</v>
      </c>
      <c r="H18" s="3" t="s">
        <v>109</v>
      </c>
      <c r="I18" s="3" t="s">
        <v>110</v>
      </c>
      <c r="J18" s="3" t="n">
        <v>55</v>
      </c>
      <c r="K18" s="3" t="n">
        <v>2024</v>
      </c>
      <c r="L18" s="3" t="s">
        <v>51</v>
      </c>
      <c r="M18" s="4" t="n">
        <v>139785</v>
      </c>
      <c r="N18" s="5" t="s">
        <v>111</v>
      </c>
      <c r="O18" s="6" t="s">
        <v>26</v>
      </c>
      <c r="P18" s="3" t="s">
        <v>112</v>
      </c>
    </row>
    <row r="19" customFormat="false" ht="23.85" hidden="false" customHeight="false" outlineLevel="0" collapsed="false">
      <c r="A19" s="2" t="n">
        <v>18</v>
      </c>
      <c r="B19" s="3" t="s">
        <v>87</v>
      </c>
      <c r="C19" s="3" t="s">
        <v>113</v>
      </c>
      <c r="D19" s="2" t="s">
        <v>29</v>
      </c>
      <c r="E19" s="3" t="s">
        <v>30</v>
      </c>
      <c r="F19" s="3" t="s">
        <v>20</v>
      </c>
      <c r="G19" s="3" t="s">
        <v>114</v>
      </c>
      <c r="H19" s="3" t="s">
        <v>95</v>
      </c>
      <c r="I19" s="3" t="s">
        <v>23</v>
      </c>
      <c r="J19" s="3" t="n">
        <v>105</v>
      </c>
      <c r="K19" s="3" t="n">
        <v>2020</v>
      </c>
      <c r="L19" s="3" t="s">
        <v>51</v>
      </c>
      <c r="M19" s="4" t="n">
        <v>86050</v>
      </c>
      <c r="N19" s="5" t="s">
        <v>115</v>
      </c>
      <c r="O19" s="6" t="s">
        <v>26</v>
      </c>
      <c r="P19" s="3" t="s">
        <v>116</v>
      </c>
    </row>
    <row r="20" customFormat="false" ht="23.85" hidden="false" customHeight="false" outlineLevel="0" collapsed="false">
      <c r="A20" s="2" t="n">
        <v>19</v>
      </c>
      <c r="B20" s="3" t="s">
        <v>87</v>
      </c>
      <c r="C20" s="3" t="s">
        <v>117</v>
      </c>
      <c r="D20" s="2" t="s">
        <v>29</v>
      </c>
      <c r="E20" s="3" t="s">
        <v>59</v>
      </c>
      <c r="F20" s="3" t="s">
        <v>20</v>
      </c>
      <c r="G20" s="3" t="s">
        <v>118</v>
      </c>
      <c r="H20" s="3" t="s">
        <v>95</v>
      </c>
      <c r="I20" s="3" t="s">
        <v>23</v>
      </c>
      <c r="J20" s="3" t="n">
        <v>105</v>
      </c>
      <c r="K20" s="3" t="n">
        <v>2022</v>
      </c>
      <c r="L20" s="3" t="s">
        <v>33</v>
      </c>
      <c r="M20" s="4" t="n">
        <v>96354</v>
      </c>
      <c r="N20" s="5" t="s">
        <v>119</v>
      </c>
      <c r="O20" s="6" t="s">
        <v>26</v>
      </c>
      <c r="P20" s="3" t="s">
        <v>120</v>
      </c>
    </row>
    <row r="21" customFormat="false" ht="23.85" hidden="false" customHeight="false" outlineLevel="0" collapsed="false">
      <c r="A21" s="2" t="n">
        <v>20</v>
      </c>
      <c r="B21" s="3" t="s">
        <v>87</v>
      </c>
      <c r="C21" s="3" t="s">
        <v>121</v>
      </c>
      <c r="D21" s="2" t="s">
        <v>29</v>
      </c>
      <c r="E21" s="3" t="s">
        <v>59</v>
      </c>
      <c r="F21" s="3" t="s">
        <v>93</v>
      </c>
      <c r="G21" s="3" t="s">
        <v>122</v>
      </c>
      <c r="H21" s="3" t="s">
        <v>123</v>
      </c>
      <c r="I21" s="3" t="s">
        <v>45</v>
      </c>
      <c r="J21" s="3" t="n">
        <v>105</v>
      </c>
      <c r="K21" s="3" t="n">
        <v>2022</v>
      </c>
      <c r="L21" s="3" t="s">
        <v>39</v>
      </c>
      <c r="M21" s="4" t="n">
        <v>102054</v>
      </c>
      <c r="N21" s="5" t="s">
        <v>124</v>
      </c>
      <c r="O21" s="6" t="s">
        <v>26</v>
      </c>
      <c r="P21" s="3" t="s">
        <v>125</v>
      </c>
    </row>
    <row r="22" customFormat="false" ht="23.85" hidden="false" customHeight="false" outlineLevel="0" collapsed="false">
      <c r="A22" s="2" t="n">
        <v>21</v>
      </c>
      <c r="B22" s="3" t="s">
        <v>87</v>
      </c>
      <c r="C22" s="3" t="s">
        <v>126</v>
      </c>
      <c r="D22" s="2" t="s">
        <v>29</v>
      </c>
      <c r="E22" s="3" t="s">
        <v>30</v>
      </c>
      <c r="F22" s="3" t="s">
        <v>31</v>
      </c>
      <c r="G22" s="3" t="s">
        <v>127</v>
      </c>
      <c r="H22" s="3" t="s">
        <v>95</v>
      </c>
      <c r="I22" s="3" t="s">
        <v>23</v>
      </c>
      <c r="J22" s="3" t="n">
        <v>105</v>
      </c>
      <c r="K22" s="3" t="s">
        <v>66</v>
      </c>
      <c r="L22" s="3" t="s">
        <v>61</v>
      </c>
      <c r="M22" s="4" t="n">
        <v>88604</v>
      </c>
      <c r="N22" s="5" t="s">
        <v>128</v>
      </c>
      <c r="O22" s="6" t="s">
        <v>26</v>
      </c>
      <c r="P22" s="3" t="s">
        <v>129</v>
      </c>
    </row>
    <row r="23" customFormat="false" ht="15" hidden="false" customHeight="false" outlineLevel="0" collapsed="false">
      <c r="A23" s="2" t="n">
        <v>22</v>
      </c>
      <c r="B23" s="3" t="s">
        <v>87</v>
      </c>
      <c r="C23" s="3" t="s">
        <v>130</v>
      </c>
      <c r="D23" s="2" t="s">
        <v>29</v>
      </c>
      <c r="E23" s="3" t="s">
        <v>37</v>
      </c>
      <c r="F23" s="3" t="s">
        <v>20</v>
      </c>
      <c r="G23" s="3" t="s">
        <v>131</v>
      </c>
      <c r="H23" s="3" t="s">
        <v>22</v>
      </c>
      <c r="I23" s="3" t="s">
        <v>23</v>
      </c>
      <c r="J23" s="3" t="n">
        <v>100</v>
      </c>
      <c r="K23" s="3" t="n">
        <v>2023</v>
      </c>
      <c r="L23" s="3" t="s">
        <v>61</v>
      </c>
      <c r="M23" s="4" t="n">
        <v>69738</v>
      </c>
      <c r="N23" s="5" t="s">
        <v>132</v>
      </c>
      <c r="O23" s="6" t="s">
        <v>26</v>
      </c>
      <c r="P23" s="3" t="s">
        <v>133</v>
      </c>
    </row>
    <row r="24" customFormat="false" ht="23.85" hidden="false" customHeight="false" outlineLevel="0" collapsed="false">
      <c r="A24" s="2" t="n">
        <v>23</v>
      </c>
      <c r="B24" s="3" t="s">
        <v>87</v>
      </c>
      <c r="C24" s="3" t="s">
        <v>134</v>
      </c>
      <c r="D24" s="2" t="s">
        <v>29</v>
      </c>
      <c r="E24" s="3" t="s">
        <v>37</v>
      </c>
      <c r="F24" s="3" t="s">
        <v>20</v>
      </c>
      <c r="G24" s="3" t="s">
        <v>135</v>
      </c>
      <c r="H24" s="3" t="s">
        <v>44</v>
      </c>
      <c r="I24" s="3" t="s">
        <v>45</v>
      </c>
      <c r="J24" s="3" t="n">
        <v>100</v>
      </c>
      <c r="K24" s="3" t="n">
        <v>2025</v>
      </c>
      <c r="L24" s="3" t="s">
        <v>51</v>
      </c>
      <c r="M24" s="4" t="n">
        <v>99406</v>
      </c>
      <c r="N24" s="5" t="s">
        <v>136</v>
      </c>
      <c r="O24" s="6" t="s">
        <v>26</v>
      </c>
      <c r="P24" s="3" t="s">
        <v>137</v>
      </c>
    </row>
    <row r="25" customFormat="false" ht="23.85" hidden="false" customHeight="false" outlineLevel="0" collapsed="false">
      <c r="A25" s="2" t="n">
        <v>24</v>
      </c>
      <c r="B25" s="3" t="s">
        <v>87</v>
      </c>
      <c r="C25" s="3" t="s">
        <v>138</v>
      </c>
      <c r="D25" s="2" t="s">
        <v>29</v>
      </c>
      <c r="E25" s="3" t="s">
        <v>19</v>
      </c>
      <c r="F25" s="3" t="s">
        <v>20</v>
      </c>
      <c r="G25" s="3" t="s">
        <v>139</v>
      </c>
      <c r="H25" s="3" t="s">
        <v>22</v>
      </c>
      <c r="I25" s="3" t="s">
        <v>23</v>
      </c>
      <c r="J25" s="3" t="n">
        <v>100</v>
      </c>
      <c r="K25" s="3" t="n">
        <v>2023</v>
      </c>
      <c r="L25" s="3" t="s">
        <v>51</v>
      </c>
      <c r="M25" s="4" t="n">
        <v>79516</v>
      </c>
      <c r="N25" s="5" t="s">
        <v>140</v>
      </c>
      <c r="O25" s="6" t="s">
        <v>26</v>
      </c>
      <c r="P25" s="3" t="s">
        <v>141</v>
      </c>
    </row>
    <row r="26" customFormat="false" ht="23.85" hidden="false" customHeight="false" outlineLevel="0" collapsed="false">
      <c r="A26" s="2" t="n">
        <v>25</v>
      </c>
      <c r="B26" s="3" t="s">
        <v>87</v>
      </c>
      <c r="C26" s="3" t="s">
        <v>142</v>
      </c>
      <c r="D26" s="2" t="s">
        <v>29</v>
      </c>
      <c r="E26" s="3" t="s">
        <v>143</v>
      </c>
      <c r="F26" s="3" t="s">
        <v>20</v>
      </c>
      <c r="G26" s="3" t="s">
        <v>144</v>
      </c>
      <c r="H26" s="3" t="s">
        <v>22</v>
      </c>
      <c r="I26" s="3" t="s">
        <v>23</v>
      </c>
      <c r="J26" s="3" t="n">
        <v>100</v>
      </c>
      <c r="K26" s="3" t="n">
        <v>2025</v>
      </c>
      <c r="L26" s="3" t="s">
        <v>33</v>
      </c>
      <c r="M26" s="4" t="n">
        <v>98262</v>
      </c>
      <c r="N26" s="5" t="s">
        <v>145</v>
      </c>
      <c r="O26" s="6" t="s">
        <v>26</v>
      </c>
      <c r="P26" s="3" t="s">
        <v>146</v>
      </c>
    </row>
    <row r="27" customFormat="false" ht="23.85" hidden="false" customHeight="false" outlineLevel="0" collapsed="false">
      <c r="A27" s="2" t="n">
        <v>26</v>
      </c>
      <c r="B27" s="3" t="s">
        <v>87</v>
      </c>
      <c r="C27" s="3" t="s">
        <v>147</v>
      </c>
      <c r="D27" s="2" t="s">
        <v>29</v>
      </c>
      <c r="E27" s="3" t="s">
        <v>37</v>
      </c>
      <c r="F27" s="3" t="s">
        <v>20</v>
      </c>
      <c r="G27" s="3" t="s">
        <v>148</v>
      </c>
      <c r="H27" s="3" t="s">
        <v>22</v>
      </c>
      <c r="I27" s="3" t="s">
        <v>23</v>
      </c>
      <c r="J27" s="3" t="n">
        <v>100</v>
      </c>
      <c r="K27" s="3" t="n">
        <v>2024</v>
      </c>
      <c r="L27" s="3" t="s">
        <v>61</v>
      </c>
      <c r="M27" s="4" t="n">
        <v>56120</v>
      </c>
      <c r="N27" s="5" t="s">
        <v>149</v>
      </c>
      <c r="O27" s="6" t="s">
        <v>26</v>
      </c>
      <c r="P27" s="3" t="s">
        <v>150</v>
      </c>
    </row>
    <row r="28" customFormat="false" ht="23.85" hidden="false" customHeight="false" outlineLevel="0" collapsed="false">
      <c r="A28" s="2" t="n">
        <v>27</v>
      </c>
      <c r="B28" s="3" t="s">
        <v>87</v>
      </c>
      <c r="C28" s="3" t="s">
        <v>151</v>
      </c>
      <c r="D28" s="2" t="s">
        <v>29</v>
      </c>
      <c r="E28" s="3" t="s">
        <v>152</v>
      </c>
      <c r="F28" s="3" t="s">
        <v>20</v>
      </c>
      <c r="G28" s="3" t="s">
        <v>153</v>
      </c>
      <c r="H28" s="3" t="s">
        <v>22</v>
      </c>
      <c r="I28" s="3" t="s">
        <v>23</v>
      </c>
      <c r="J28" s="3" t="n">
        <v>100</v>
      </c>
      <c r="K28" s="3" t="n">
        <v>2025</v>
      </c>
      <c r="L28" s="3" t="s">
        <v>33</v>
      </c>
      <c r="M28" s="4" t="n">
        <v>94304</v>
      </c>
      <c r="N28" s="5" t="s">
        <v>154</v>
      </c>
      <c r="O28" s="6" t="s">
        <v>26</v>
      </c>
      <c r="P28" s="3" t="s">
        <v>155</v>
      </c>
    </row>
    <row r="29" customFormat="false" ht="23.85" hidden="false" customHeight="false" outlineLevel="0" collapsed="false">
      <c r="A29" s="2" t="n">
        <v>28</v>
      </c>
      <c r="B29" s="3" t="s">
        <v>87</v>
      </c>
      <c r="C29" s="3" t="s">
        <v>156</v>
      </c>
      <c r="D29" s="2" t="s">
        <v>29</v>
      </c>
      <c r="E29" s="3" t="s">
        <v>37</v>
      </c>
      <c r="F29" s="3" t="s">
        <v>93</v>
      </c>
      <c r="G29" s="3" t="s">
        <v>157</v>
      </c>
      <c r="H29" s="3" t="s">
        <v>22</v>
      </c>
      <c r="I29" s="3" t="s">
        <v>23</v>
      </c>
      <c r="J29" s="3" t="n">
        <v>100</v>
      </c>
      <c r="K29" s="3" t="s">
        <v>66</v>
      </c>
      <c r="L29" s="3" t="s">
        <v>61</v>
      </c>
      <c r="M29" s="4" t="n">
        <v>58552</v>
      </c>
      <c r="N29" s="5" t="s">
        <v>158</v>
      </c>
      <c r="O29" s="6" t="s">
        <v>26</v>
      </c>
      <c r="P29" s="3" t="s">
        <v>159</v>
      </c>
    </row>
    <row r="30" customFormat="false" ht="23.85" hidden="false" customHeight="false" outlineLevel="0" collapsed="false">
      <c r="A30" s="2" t="n">
        <v>29</v>
      </c>
      <c r="B30" s="3" t="s">
        <v>87</v>
      </c>
      <c r="C30" s="3" t="s">
        <v>160</v>
      </c>
      <c r="D30" s="2" t="s">
        <v>29</v>
      </c>
      <c r="E30" s="3" t="s">
        <v>59</v>
      </c>
      <c r="F30" s="3" t="s">
        <v>93</v>
      </c>
      <c r="G30" s="3" t="s">
        <v>161</v>
      </c>
      <c r="H30" s="3" t="s">
        <v>22</v>
      </c>
      <c r="I30" s="3" t="s">
        <v>23</v>
      </c>
      <c r="J30" s="3" t="n">
        <v>100</v>
      </c>
      <c r="K30" s="3" t="s">
        <v>66</v>
      </c>
      <c r="L30" s="3" t="s">
        <v>33</v>
      </c>
      <c r="M30" s="4" t="n">
        <v>77370</v>
      </c>
      <c r="N30" s="5" t="s">
        <v>162</v>
      </c>
      <c r="O30" s="6" t="s">
        <v>26</v>
      </c>
      <c r="P30" s="3" t="s">
        <v>163</v>
      </c>
    </row>
    <row r="31" customFormat="false" ht="23.85" hidden="false" customHeight="false" outlineLevel="0" collapsed="false">
      <c r="A31" s="2" t="n">
        <v>30</v>
      </c>
      <c r="B31" s="3" t="s">
        <v>87</v>
      </c>
      <c r="C31" s="3" t="s">
        <v>164</v>
      </c>
      <c r="D31" s="2" t="s">
        <v>29</v>
      </c>
      <c r="E31" s="3" t="s">
        <v>59</v>
      </c>
      <c r="F31" s="3" t="s">
        <v>20</v>
      </c>
      <c r="G31" s="3" t="s">
        <v>165</v>
      </c>
      <c r="H31" s="3" t="s">
        <v>22</v>
      </c>
      <c r="I31" s="3" t="s">
        <v>23</v>
      </c>
      <c r="J31" s="3" t="n">
        <v>100</v>
      </c>
      <c r="K31" s="3" t="n">
        <v>2023</v>
      </c>
      <c r="L31" s="3" t="s">
        <v>33</v>
      </c>
      <c r="M31" s="4" t="n">
        <v>58958</v>
      </c>
      <c r="N31" s="5" t="s">
        <v>166</v>
      </c>
      <c r="O31" s="6" t="s">
        <v>26</v>
      </c>
      <c r="P31" s="3" t="s">
        <v>167</v>
      </c>
    </row>
    <row r="32" customFormat="false" ht="23.85" hidden="false" customHeight="false" outlineLevel="0" collapsed="false">
      <c r="A32" s="2" t="n">
        <v>31</v>
      </c>
      <c r="B32" s="3" t="s">
        <v>168</v>
      </c>
      <c r="C32" s="3" t="s">
        <v>169</v>
      </c>
      <c r="D32" s="2" t="s">
        <v>18</v>
      </c>
      <c r="E32" s="3" t="s">
        <v>30</v>
      </c>
      <c r="F32" s="3" t="s">
        <v>31</v>
      </c>
      <c r="G32" s="3" t="s">
        <v>170</v>
      </c>
      <c r="H32" s="3" t="s">
        <v>22</v>
      </c>
      <c r="I32" s="3" t="s">
        <v>23</v>
      </c>
      <c r="J32" s="3" t="n">
        <v>100</v>
      </c>
      <c r="K32" s="3" t="n">
        <v>2022</v>
      </c>
      <c r="L32" s="3" t="s">
        <v>171</v>
      </c>
      <c r="M32" s="4" t="n">
        <v>47938</v>
      </c>
      <c r="N32" s="5" t="s">
        <v>172</v>
      </c>
      <c r="O32" s="6" t="s">
        <v>26</v>
      </c>
      <c r="P32" s="3" t="s">
        <v>173</v>
      </c>
    </row>
    <row r="33" customFormat="false" ht="23.85" hidden="false" customHeight="false" outlineLevel="0" collapsed="false">
      <c r="A33" s="2" t="n">
        <v>32</v>
      </c>
      <c r="B33" s="3" t="s">
        <v>168</v>
      </c>
      <c r="C33" s="3" t="s">
        <v>174</v>
      </c>
      <c r="D33" s="2" t="s">
        <v>29</v>
      </c>
      <c r="E33" s="3" t="s">
        <v>37</v>
      </c>
      <c r="F33" s="3" t="s">
        <v>31</v>
      </c>
      <c r="G33" s="3" t="s">
        <v>175</v>
      </c>
      <c r="H33" s="3" t="s">
        <v>23</v>
      </c>
      <c r="I33" s="3" t="s">
        <v>23</v>
      </c>
      <c r="J33" s="3"/>
      <c r="K33" s="3" t="n">
        <v>2023</v>
      </c>
      <c r="L33" s="3" t="s">
        <v>39</v>
      </c>
      <c r="M33" s="4" t="n">
        <v>52995</v>
      </c>
      <c r="N33" s="5" t="s">
        <v>176</v>
      </c>
      <c r="O33" s="6" t="s">
        <v>26</v>
      </c>
      <c r="P33" s="3" t="s">
        <v>177</v>
      </c>
    </row>
    <row r="34" customFormat="false" ht="23.85" hidden="false" customHeight="false" outlineLevel="0" collapsed="false">
      <c r="A34" s="2" t="n">
        <v>33</v>
      </c>
      <c r="B34" s="3" t="s">
        <v>178</v>
      </c>
      <c r="C34" s="3" t="s">
        <v>179</v>
      </c>
      <c r="D34" s="2" t="s">
        <v>18</v>
      </c>
      <c r="E34" s="3" t="s">
        <v>152</v>
      </c>
      <c r="F34" s="3" t="s">
        <v>93</v>
      </c>
      <c r="G34" s="3" t="s">
        <v>180</v>
      </c>
      <c r="H34" s="3" t="s">
        <v>22</v>
      </c>
      <c r="I34" s="3" t="s">
        <v>23</v>
      </c>
      <c r="J34" s="3" t="n">
        <v>100</v>
      </c>
      <c r="K34" s="3" t="n">
        <v>2021</v>
      </c>
      <c r="L34" s="3" t="s">
        <v>39</v>
      </c>
      <c r="M34" s="4" t="n">
        <v>142695</v>
      </c>
      <c r="N34" s="5" t="s">
        <v>181</v>
      </c>
      <c r="O34" s="6" t="s">
        <v>26</v>
      </c>
      <c r="P34" s="3" t="s">
        <v>182</v>
      </c>
    </row>
    <row r="35" customFormat="false" ht="23.85" hidden="false" customHeight="false" outlineLevel="0" collapsed="false">
      <c r="A35" s="2" t="n">
        <v>34</v>
      </c>
      <c r="B35" s="3" t="s">
        <v>178</v>
      </c>
      <c r="C35" s="3" t="s">
        <v>183</v>
      </c>
      <c r="D35" s="2" t="s">
        <v>29</v>
      </c>
      <c r="E35" s="3" t="s">
        <v>152</v>
      </c>
      <c r="F35" s="3" t="s">
        <v>93</v>
      </c>
      <c r="G35" s="3" t="s">
        <v>180</v>
      </c>
      <c r="H35" s="3" t="s">
        <v>184</v>
      </c>
      <c r="I35" s="3" t="s">
        <v>23</v>
      </c>
      <c r="J35" s="3" t="n">
        <v>150</v>
      </c>
      <c r="K35" s="3" t="n">
        <v>2021</v>
      </c>
      <c r="L35" s="3" t="s">
        <v>39</v>
      </c>
      <c r="M35" s="4" t="n">
        <v>180258</v>
      </c>
      <c r="N35" s="5" t="s">
        <v>185</v>
      </c>
      <c r="O35" s="6" t="s">
        <v>26</v>
      </c>
      <c r="P35" s="3" t="s">
        <v>186</v>
      </c>
    </row>
    <row r="36" customFormat="false" ht="23.85" hidden="false" customHeight="false" outlineLevel="0" collapsed="false">
      <c r="A36" s="2" t="n">
        <v>35</v>
      </c>
      <c r="B36" s="3" t="s">
        <v>187</v>
      </c>
      <c r="C36" s="3" t="s">
        <v>188</v>
      </c>
      <c r="D36" s="2" t="s">
        <v>18</v>
      </c>
      <c r="E36" s="3" t="s">
        <v>59</v>
      </c>
      <c r="F36" s="3" t="s">
        <v>93</v>
      </c>
      <c r="G36" s="3" t="s">
        <v>189</v>
      </c>
      <c r="H36" s="3" t="s">
        <v>23</v>
      </c>
      <c r="I36" s="3" t="s">
        <v>23</v>
      </c>
      <c r="J36" s="3"/>
      <c r="K36" s="3" t="n">
        <v>2024</v>
      </c>
      <c r="L36" s="3" t="s">
        <v>190</v>
      </c>
      <c r="M36" s="4" t="n">
        <v>52208</v>
      </c>
      <c r="N36" s="5" t="s">
        <v>191</v>
      </c>
      <c r="O36" s="6" t="s">
        <v>26</v>
      </c>
      <c r="P36" s="3" t="s">
        <v>192</v>
      </c>
    </row>
    <row r="37" customFormat="false" ht="35.05" hidden="false" customHeight="false" outlineLevel="0" collapsed="false">
      <c r="A37" s="2" t="n">
        <v>36</v>
      </c>
      <c r="B37" s="3" t="s">
        <v>187</v>
      </c>
      <c r="C37" s="3" t="s">
        <v>193</v>
      </c>
      <c r="D37" s="2" t="s">
        <v>29</v>
      </c>
      <c r="E37" s="3" t="s">
        <v>59</v>
      </c>
      <c r="F37" s="3" t="s">
        <v>93</v>
      </c>
      <c r="G37" s="3" t="s">
        <v>194</v>
      </c>
      <c r="H37" s="3" t="s">
        <v>23</v>
      </c>
      <c r="I37" s="3" t="s">
        <v>23</v>
      </c>
      <c r="J37" s="3"/>
      <c r="K37" s="3" t="s">
        <v>66</v>
      </c>
      <c r="L37" s="3" t="s">
        <v>66</v>
      </c>
      <c r="M37" s="4" t="n">
        <v>59577</v>
      </c>
      <c r="N37" s="5" t="s">
        <v>195</v>
      </c>
      <c r="O37" s="6" t="s">
        <v>26</v>
      </c>
      <c r="P37" s="3" t="s">
        <v>196</v>
      </c>
    </row>
    <row r="38" customFormat="false" ht="15" hidden="false" customHeight="false" outlineLevel="0" collapsed="false">
      <c r="A38" s="2" t="n">
        <v>37</v>
      </c>
      <c r="B38" s="3" t="s">
        <v>197</v>
      </c>
      <c r="C38" s="3" t="s">
        <v>198</v>
      </c>
      <c r="D38" s="2" t="s">
        <v>18</v>
      </c>
      <c r="E38" s="3" t="s">
        <v>37</v>
      </c>
      <c r="F38" s="3" t="s">
        <v>20</v>
      </c>
      <c r="G38" s="3" t="s">
        <v>199</v>
      </c>
      <c r="H38" s="3" t="s">
        <v>22</v>
      </c>
      <c r="I38" s="3" t="s">
        <v>23</v>
      </c>
      <c r="J38" s="3" t="n">
        <v>100</v>
      </c>
      <c r="K38" s="3" t="s">
        <v>66</v>
      </c>
      <c r="L38" s="3" t="s">
        <v>66</v>
      </c>
      <c r="M38" s="4"/>
      <c r="N38" s="5" t="s">
        <v>66</v>
      </c>
      <c r="O38" s="6" t="s">
        <v>26</v>
      </c>
      <c r="P38" s="3"/>
    </row>
    <row r="39" customFormat="false" ht="15" hidden="false" customHeight="false" outlineLevel="0" collapsed="false">
      <c r="A39" s="2" t="n">
        <v>38</v>
      </c>
      <c r="B39" s="3" t="s">
        <v>200</v>
      </c>
      <c r="C39" s="3" t="s">
        <v>201</v>
      </c>
      <c r="D39" s="2" t="s">
        <v>18</v>
      </c>
      <c r="E39" s="3" t="s">
        <v>59</v>
      </c>
      <c r="F39" s="3" t="s">
        <v>20</v>
      </c>
      <c r="G39" s="3" t="s">
        <v>202</v>
      </c>
      <c r="H39" s="3" t="s">
        <v>22</v>
      </c>
      <c r="I39" s="3" t="s">
        <v>23</v>
      </c>
      <c r="J39" s="3" t="n">
        <v>100</v>
      </c>
      <c r="K39" s="3" t="n">
        <v>2024</v>
      </c>
      <c r="L39" s="3" t="s">
        <v>203</v>
      </c>
      <c r="M39" s="4" t="n">
        <v>62010</v>
      </c>
      <c r="N39" s="5" t="s">
        <v>204</v>
      </c>
      <c r="O39" s="6" t="s">
        <v>26</v>
      </c>
      <c r="P39" s="3"/>
    </row>
    <row r="40" customFormat="false" ht="23.85" hidden="false" customHeight="false" outlineLevel="0" collapsed="false">
      <c r="A40" s="2" t="n">
        <v>39</v>
      </c>
      <c r="B40" s="3" t="s">
        <v>200</v>
      </c>
      <c r="C40" s="3" t="s">
        <v>205</v>
      </c>
      <c r="D40" s="2" t="s">
        <v>29</v>
      </c>
      <c r="E40" s="3" t="s">
        <v>49</v>
      </c>
      <c r="F40" s="3" t="s">
        <v>20</v>
      </c>
      <c r="G40" s="3" t="s">
        <v>206</v>
      </c>
      <c r="H40" s="3" t="s">
        <v>22</v>
      </c>
      <c r="I40" s="3" t="s">
        <v>23</v>
      </c>
      <c r="J40" s="3" t="n">
        <v>100</v>
      </c>
      <c r="K40" s="3" t="n">
        <v>2024</v>
      </c>
      <c r="L40" s="3" t="s">
        <v>51</v>
      </c>
      <c r="M40" s="4" t="n">
        <v>106443</v>
      </c>
      <c r="N40" s="5" t="s">
        <v>207</v>
      </c>
      <c r="O40" s="6" t="s">
        <v>26</v>
      </c>
      <c r="P40" s="3" t="s">
        <v>208</v>
      </c>
    </row>
    <row r="41" customFormat="false" ht="23.85" hidden="false" customHeight="false" outlineLevel="0" collapsed="false">
      <c r="A41" s="2" t="n">
        <v>40</v>
      </c>
      <c r="B41" s="3" t="s">
        <v>200</v>
      </c>
      <c r="C41" s="3" t="s">
        <v>209</v>
      </c>
      <c r="D41" s="2" t="s">
        <v>29</v>
      </c>
      <c r="E41" s="3" t="s">
        <v>37</v>
      </c>
      <c r="F41" s="3" t="s">
        <v>20</v>
      </c>
      <c r="G41" s="3" t="s">
        <v>210</v>
      </c>
      <c r="H41" s="3" t="s">
        <v>211</v>
      </c>
      <c r="I41" s="3" t="s">
        <v>212</v>
      </c>
      <c r="J41" s="3" t="n">
        <v>150</v>
      </c>
      <c r="K41" s="3" t="n">
        <v>2025</v>
      </c>
      <c r="L41" s="3" t="s">
        <v>39</v>
      </c>
      <c r="M41" s="4" t="n">
        <v>145318</v>
      </c>
      <c r="N41" s="5" t="s">
        <v>213</v>
      </c>
      <c r="O41" s="6" t="s">
        <v>26</v>
      </c>
      <c r="P41" s="3" t="s">
        <v>214</v>
      </c>
    </row>
    <row r="42" customFormat="false" ht="35.05" hidden="false" customHeight="false" outlineLevel="0" collapsed="false">
      <c r="A42" s="2" t="n">
        <v>41</v>
      </c>
      <c r="B42" s="3" t="s">
        <v>200</v>
      </c>
      <c r="C42" s="3" t="s">
        <v>215</v>
      </c>
      <c r="D42" s="2" t="s">
        <v>29</v>
      </c>
      <c r="E42" s="3" t="s">
        <v>59</v>
      </c>
      <c r="F42" s="3" t="s">
        <v>20</v>
      </c>
      <c r="G42" s="3" t="s">
        <v>216</v>
      </c>
      <c r="H42" s="3" t="s">
        <v>23</v>
      </c>
      <c r="I42" s="3" t="s">
        <v>23</v>
      </c>
      <c r="J42" s="3"/>
      <c r="K42" s="3" t="n">
        <v>2023</v>
      </c>
      <c r="L42" s="3" t="s">
        <v>51</v>
      </c>
      <c r="M42" s="4" t="n">
        <v>97666</v>
      </c>
      <c r="N42" s="5" t="s">
        <v>217</v>
      </c>
      <c r="O42" s="6" t="s">
        <v>26</v>
      </c>
      <c r="P42" s="3" t="s">
        <v>218</v>
      </c>
    </row>
    <row r="43" customFormat="false" ht="23.85" hidden="false" customHeight="false" outlineLevel="0" collapsed="false">
      <c r="A43" s="2" t="n">
        <v>42</v>
      </c>
      <c r="B43" s="3" t="s">
        <v>200</v>
      </c>
      <c r="C43" s="3" t="s">
        <v>219</v>
      </c>
      <c r="D43" s="2" t="s">
        <v>29</v>
      </c>
      <c r="E43" s="3" t="s">
        <v>37</v>
      </c>
      <c r="F43" s="3" t="s">
        <v>20</v>
      </c>
      <c r="G43" s="3" t="s">
        <v>220</v>
      </c>
      <c r="H43" s="3" t="s">
        <v>23</v>
      </c>
      <c r="I43" s="3" t="s">
        <v>23</v>
      </c>
      <c r="J43" s="3"/>
      <c r="K43" s="3" t="n">
        <v>2025</v>
      </c>
      <c r="L43" s="3" t="s">
        <v>39</v>
      </c>
      <c r="M43" s="4" t="n">
        <v>113145</v>
      </c>
      <c r="N43" s="5" t="s">
        <v>221</v>
      </c>
      <c r="O43" s="6" t="s">
        <v>26</v>
      </c>
      <c r="P43" s="3" t="s">
        <v>222</v>
      </c>
    </row>
    <row r="44" customFormat="false" ht="23.85" hidden="false" customHeight="false" outlineLevel="0" collapsed="false">
      <c r="A44" s="2" t="n">
        <v>43</v>
      </c>
      <c r="B44" s="3" t="s">
        <v>200</v>
      </c>
      <c r="C44" s="3" t="s">
        <v>223</v>
      </c>
      <c r="D44" s="2" t="s">
        <v>29</v>
      </c>
      <c r="E44" s="3" t="s">
        <v>59</v>
      </c>
      <c r="F44" s="3" t="s">
        <v>20</v>
      </c>
      <c r="G44" s="3" t="s">
        <v>224</v>
      </c>
      <c r="H44" s="3" t="s">
        <v>23</v>
      </c>
      <c r="I44" s="3" t="s">
        <v>23</v>
      </c>
      <c r="J44" s="3"/>
      <c r="K44" s="3" t="n">
        <v>2025</v>
      </c>
      <c r="L44" s="3" t="s">
        <v>51</v>
      </c>
      <c r="M44" s="4" t="n">
        <v>95997</v>
      </c>
      <c r="N44" s="5" t="s">
        <v>225</v>
      </c>
      <c r="O44" s="6" t="s">
        <v>26</v>
      </c>
      <c r="P44" s="3" t="s">
        <v>226</v>
      </c>
    </row>
    <row r="45" customFormat="false" ht="35.05" hidden="false" customHeight="false" outlineLevel="0" collapsed="false">
      <c r="A45" s="2" t="n">
        <v>44</v>
      </c>
      <c r="B45" s="3" t="s">
        <v>200</v>
      </c>
      <c r="C45" s="3" t="s">
        <v>227</v>
      </c>
      <c r="D45" s="2" t="s">
        <v>29</v>
      </c>
      <c r="E45" s="3" t="s">
        <v>30</v>
      </c>
      <c r="F45" s="3" t="s">
        <v>20</v>
      </c>
      <c r="G45" s="3" t="s">
        <v>228</v>
      </c>
      <c r="H45" s="3" t="s">
        <v>23</v>
      </c>
      <c r="I45" s="3" t="s">
        <v>23</v>
      </c>
      <c r="J45" s="3"/>
      <c r="K45" s="3" t="n">
        <v>2025</v>
      </c>
      <c r="L45" s="3" t="s">
        <v>51</v>
      </c>
      <c r="M45" s="4" t="n">
        <v>118773</v>
      </c>
      <c r="N45" s="5" t="s">
        <v>229</v>
      </c>
      <c r="O45" s="6" t="s">
        <v>26</v>
      </c>
      <c r="P45" s="3" t="s">
        <v>230</v>
      </c>
    </row>
    <row r="46" customFormat="false" ht="15" hidden="false" customHeight="false" outlineLevel="0" collapsed="false">
      <c r="A46" s="2" t="n">
        <v>45</v>
      </c>
      <c r="B46" s="3" t="s">
        <v>231</v>
      </c>
      <c r="C46" s="3" t="s">
        <v>232</v>
      </c>
      <c r="D46" s="2" t="s">
        <v>18</v>
      </c>
      <c r="E46" s="3" t="s">
        <v>37</v>
      </c>
      <c r="F46" s="3" t="s">
        <v>20</v>
      </c>
      <c r="G46" s="3" t="s">
        <v>233</v>
      </c>
      <c r="H46" s="3" t="s">
        <v>22</v>
      </c>
      <c r="I46" s="3" t="s">
        <v>23</v>
      </c>
      <c r="J46" s="3" t="n">
        <v>100</v>
      </c>
      <c r="K46" s="3" t="n">
        <v>2021</v>
      </c>
      <c r="L46" s="3" t="s">
        <v>171</v>
      </c>
      <c r="M46" s="4" t="n">
        <v>39567</v>
      </c>
      <c r="N46" s="5" t="s">
        <v>234</v>
      </c>
      <c r="O46" s="6" t="s">
        <v>26</v>
      </c>
      <c r="P46" s="3" t="s">
        <v>235</v>
      </c>
    </row>
    <row r="47" customFormat="false" ht="15" hidden="false" customHeight="false" outlineLevel="0" collapsed="false">
      <c r="A47" s="2" t="n">
        <v>46</v>
      </c>
      <c r="B47" s="3" t="s">
        <v>231</v>
      </c>
      <c r="C47" s="3" t="s">
        <v>236</v>
      </c>
      <c r="D47" s="2" t="s">
        <v>29</v>
      </c>
      <c r="E47" s="3" t="s">
        <v>59</v>
      </c>
      <c r="F47" s="3" t="s">
        <v>20</v>
      </c>
      <c r="G47" s="3" t="s">
        <v>237</v>
      </c>
      <c r="H47" s="3" t="s">
        <v>22</v>
      </c>
      <c r="I47" s="3" t="s">
        <v>23</v>
      </c>
      <c r="J47" s="3" t="n">
        <v>100</v>
      </c>
      <c r="K47" s="3" t="n">
        <v>2022</v>
      </c>
      <c r="L47" s="3" t="s">
        <v>39</v>
      </c>
      <c r="M47" s="4"/>
      <c r="N47" s="5" t="s">
        <v>66</v>
      </c>
      <c r="O47" s="6" t="s">
        <v>26</v>
      </c>
      <c r="P47" s="3"/>
    </row>
    <row r="48" customFormat="false" ht="23.85" hidden="false" customHeight="false" outlineLevel="0" collapsed="false">
      <c r="A48" s="2" t="n">
        <v>47</v>
      </c>
      <c r="B48" s="3" t="s">
        <v>231</v>
      </c>
      <c r="C48" s="3" t="s">
        <v>238</v>
      </c>
      <c r="D48" s="2" t="s">
        <v>29</v>
      </c>
      <c r="E48" s="3" t="s">
        <v>37</v>
      </c>
      <c r="F48" s="3" t="s">
        <v>20</v>
      </c>
      <c r="G48" s="3" t="s">
        <v>239</v>
      </c>
      <c r="H48" s="3" t="s">
        <v>22</v>
      </c>
      <c r="I48" s="3" t="s">
        <v>23</v>
      </c>
      <c r="J48" s="3" t="n">
        <v>100</v>
      </c>
      <c r="K48" s="3" t="n">
        <v>2024</v>
      </c>
      <c r="L48" s="3" t="s">
        <v>51</v>
      </c>
      <c r="M48" s="4" t="n">
        <v>64682</v>
      </c>
      <c r="N48" s="5" t="s">
        <v>240</v>
      </c>
      <c r="O48" s="6" t="s">
        <v>26</v>
      </c>
      <c r="P48" s="3" t="s">
        <v>241</v>
      </c>
    </row>
    <row r="49" customFormat="false" ht="23.85" hidden="false" customHeight="false" outlineLevel="0" collapsed="false">
      <c r="A49" s="2" t="n">
        <v>48</v>
      </c>
      <c r="B49" s="3" t="s">
        <v>231</v>
      </c>
      <c r="C49" s="3" t="s">
        <v>242</v>
      </c>
      <c r="D49" s="2" t="s">
        <v>29</v>
      </c>
      <c r="E49" s="3" t="s">
        <v>19</v>
      </c>
      <c r="F49" s="3" t="s">
        <v>20</v>
      </c>
      <c r="G49" s="3" t="s">
        <v>243</v>
      </c>
      <c r="H49" s="3" t="s">
        <v>22</v>
      </c>
      <c r="I49" s="3" t="s">
        <v>23</v>
      </c>
      <c r="J49" s="3" t="n">
        <v>100</v>
      </c>
      <c r="K49" s="3" t="n">
        <v>2025</v>
      </c>
      <c r="L49" s="3" t="s">
        <v>39</v>
      </c>
      <c r="M49" s="4" t="n">
        <v>85956</v>
      </c>
      <c r="N49" s="5" t="s">
        <v>244</v>
      </c>
      <c r="O49" s="6" t="s">
        <v>26</v>
      </c>
      <c r="P49" s="3" t="s">
        <v>245</v>
      </c>
    </row>
    <row r="50" customFormat="false" ht="23.85" hidden="false" customHeight="false" outlineLevel="0" collapsed="false">
      <c r="A50" s="2" t="n">
        <v>49</v>
      </c>
      <c r="B50" s="3" t="s">
        <v>231</v>
      </c>
      <c r="C50" s="3" t="s">
        <v>246</v>
      </c>
      <c r="D50" s="2" t="s">
        <v>29</v>
      </c>
      <c r="E50" s="3" t="s">
        <v>247</v>
      </c>
      <c r="F50" s="3" t="s">
        <v>93</v>
      </c>
      <c r="G50" s="3" t="s">
        <v>248</v>
      </c>
      <c r="H50" s="3" t="s">
        <v>22</v>
      </c>
      <c r="I50" s="3" t="s">
        <v>23</v>
      </c>
      <c r="J50" s="3" t="n">
        <v>100</v>
      </c>
      <c r="K50" s="3" t="n">
        <v>2021</v>
      </c>
      <c r="L50" s="3" t="s">
        <v>39</v>
      </c>
      <c r="M50" s="4" t="n">
        <v>72003</v>
      </c>
      <c r="N50" s="5" t="s">
        <v>249</v>
      </c>
      <c r="O50" s="6" t="s">
        <v>26</v>
      </c>
      <c r="P50" s="3" t="s">
        <v>250</v>
      </c>
    </row>
    <row r="51" customFormat="false" ht="23.85" hidden="false" customHeight="false" outlineLevel="0" collapsed="false">
      <c r="A51" s="2" t="n">
        <v>50</v>
      </c>
      <c r="B51" s="3" t="s">
        <v>231</v>
      </c>
      <c r="C51" s="3" t="s">
        <v>251</v>
      </c>
      <c r="D51" s="2" t="s">
        <v>29</v>
      </c>
      <c r="E51" s="3" t="s">
        <v>37</v>
      </c>
      <c r="F51" s="3" t="s">
        <v>93</v>
      </c>
      <c r="G51" s="3" t="s">
        <v>252</v>
      </c>
      <c r="H51" s="3" t="s">
        <v>22</v>
      </c>
      <c r="I51" s="3" t="s">
        <v>23</v>
      </c>
      <c r="J51" s="3" t="n">
        <v>100</v>
      </c>
      <c r="K51" s="3" t="n">
        <v>2025</v>
      </c>
      <c r="L51" s="3" t="s">
        <v>39</v>
      </c>
      <c r="M51" s="4" t="n">
        <v>91680</v>
      </c>
      <c r="N51" s="5" t="s">
        <v>253</v>
      </c>
      <c r="O51" s="6" t="s">
        <v>26</v>
      </c>
      <c r="P51" s="3" t="s">
        <v>254</v>
      </c>
    </row>
    <row r="52" customFormat="false" ht="15" hidden="false" customHeight="false" outlineLevel="0" collapsed="false">
      <c r="A52" s="2" t="n">
        <v>51</v>
      </c>
      <c r="B52" s="3" t="s">
        <v>231</v>
      </c>
      <c r="C52" s="3" t="s">
        <v>255</v>
      </c>
      <c r="D52" s="2" t="s">
        <v>29</v>
      </c>
      <c r="E52" s="3" t="s">
        <v>49</v>
      </c>
      <c r="F52" s="3" t="s">
        <v>93</v>
      </c>
      <c r="G52" s="3" t="s">
        <v>256</v>
      </c>
      <c r="H52" s="3" t="s">
        <v>44</v>
      </c>
      <c r="I52" s="3" t="s">
        <v>45</v>
      </c>
      <c r="J52" s="3" t="n">
        <v>100</v>
      </c>
      <c r="K52" s="3" t="n">
        <v>2025</v>
      </c>
      <c r="L52" s="3" t="s">
        <v>39</v>
      </c>
      <c r="M52" s="4" t="n">
        <v>86265</v>
      </c>
      <c r="N52" s="5" t="s">
        <v>257</v>
      </c>
      <c r="O52" s="6" t="s">
        <v>26</v>
      </c>
      <c r="P52" s="3" t="s">
        <v>258</v>
      </c>
    </row>
    <row r="53" customFormat="false" ht="23.85" hidden="false" customHeight="false" outlineLevel="0" collapsed="false">
      <c r="A53" s="2" t="n">
        <v>52</v>
      </c>
      <c r="B53" s="3" t="s">
        <v>231</v>
      </c>
      <c r="C53" s="3" t="s">
        <v>259</v>
      </c>
      <c r="D53" s="2" t="s">
        <v>29</v>
      </c>
      <c r="E53" s="3" t="s">
        <v>143</v>
      </c>
      <c r="F53" s="3" t="s">
        <v>93</v>
      </c>
      <c r="G53" s="3" t="s">
        <v>260</v>
      </c>
      <c r="H53" s="3" t="s">
        <v>22</v>
      </c>
      <c r="I53" s="3" t="s">
        <v>23</v>
      </c>
      <c r="J53" s="3" t="n">
        <v>100</v>
      </c>
      <c r="K53" s="3" t="n">
        <v>2024</v>
      </c>
      <c r="L53" s="3" t="s">
        <v>51</v>
      </c>
      <c r="M53" s="4" t="n">
        <v>59338</v>
      </c>
      <c r="N53" s="5" t="s">
        <v>261</v>
      </c>
      <c r="O53" s="6" t="s">
        <v>26</v>
      </c>
      <c r="P53" s="3" t="s">
        <v>262</v>
      </c>
    </row>
    <row r="54" customFormat="false" ht="23.85" hidden="false" customHeight="false" outlineLevel="0" collapsed="false">
      <c r="A54" s="2" t="n">
        <v>53</v>
      </c>
      <c r="B54" s="3" t="s">
        <v>231</v>
      </c>
      <c r="C54" s="3" t="s">
        <v>263</v>
      </c>
      <c r="D54" s="2" t="s">
        <v>29</v>
      </c>
      <c r="E54" s="3" t="s">
        <v>264</v>
      </c>
      <c r="F54" s="3" t="s">
        <v>20</v>
      </c>
      <c r="G54" s="3" t="s">
        <v>265</v>
      </c>
      <c r="H54" s="3" t="s">
        <v>266</v>
      </c>
      <c r="I54" s="3" t="s">
        <v>23</v>
      </c>
      <c r="J54" s="3" t="n">
        <v>55</v>
      </c>
      <c r="K54" s="3" t="n">
        <v>2024</v>
      </c>
      <c r="L54" s="3" t="s">
        <v>39</v>
      </c>
      <c r="M54" s="4" t="n">
        <v>76606</v>
      </c>
      <c r="N54" s="5" t="s">
        <v>267</v>
      </c>
      <c r="O54" s="6" t="s">
        <v>26</v>
      </c>
      <c r="P54" s="3" t="s">
        <v>268</v>
      </c>
    </row>
    <row r="55" customFormat="false" ht="23.85" hidden="false" customHeight="false" outlineLevel="0" collapsed="false">
      <c r="A55" s="2" t="n">
        <v>54</v>
      </c>
      <c r="B55" s="3" t="s">
        <v>231</v>
      </c>
      <c r="C55" s="3" t="s">
        <v>269</v>
      </c>
      <c r="D55" s="2" t="s">
        <v>29</v>
      </c>
      <c r="E55" s="3" t="s">
        <v>30</v>
      </c>
      <c r="F55" s="3" t="s">
        <v>20</v>
      </c>
      <c r="G55" s="3" t="s">
        <v>270</v>
      </c>
      <c r="H55" s="3" t="s">
        <v>22</v>
      </c>
      <c r="I55" s="3" t="s">
        <v>23</v>
      </c>
      <c r="J55" s="3" t="n">
        <v>100</v>
      </c>
      <c r="K55" s="3" t="n">
        <v>2021</v>
      </c>
      <c r="L55" s="3" t="s">
        <v>39</v>
      </c>
      <c r="M55" s="4" t="n">
        <v>50372</v>
      </c>
      <c r="N55" s="5" t="s">
        <v>271</v>
      </c>
      <c r="O55" s="6" t="s">
        <v>26</v>
      </c>
      <c r="P55" s="3" t="s">
        <v>272</v>
      </c>
    </row>
    <row r="56" customFormat="false" ht="23.85" hidden="false" customHeight="false" outlineLevel="0" collapsed="false">
      <c r="A56" s="2" t="n">
        <v>55</v>
      </c>
      <c r="B56" s="3" t="s">
        <v>231</v>
      </c>
      <c r="C56" s="3" t="s">
        <v>273</v>
      </c>
      <c r="D56" s="2" t="s">
        <v>29</v>
      </c>
      <c r="E56" s="3" t="s">
        <v>59</v>
      </c>
      <c r="F56" s="3" t="s">
        <v>20</v>
      </c>
      <c r="G56" s="3" t="s">
        <v>274</v>
      </c>
      <c r="H56" s="3" t="s">
        <v>22</v>
      </c>
      <c r="I56" s="3" t="s">
        <v>23</v>
      </c>
      <c r="J56" s="3" t="n">
        <v>100</v>
      </c>
      <c r="K56" s="3" t="n">
        <v>2020</v>
      </c>
      <c r="L56" s="3" t="s">
        <v>51</v>
      </c>
      <c r="M56" s="4" t="n">
        <v>52113</v>
      </c>
      <c r="N56" s="5" t="s">
        <v>275</v>
      </c>
      <c r="O56" s="6" t="s">
        <v>26</v>
      </c>
      <c r="P56" s="3" t="s">
        <v>276</v>
      </c>
    </row>
    <row r="57" customFormat="false" ht="23.85" hidden="false" customHeight="false" outlineLevel="0" collapsed="false">
      <c r="A57" s="2" t="n">
        <v>56</v>
      </c>
      <c r="B57" s="3" t="s">
        <v>231</v>
      </c>
      <c r="C57" s="3" t="s">
        <v>277</v>
      </c>
      <c r="D57" s="2" t="s">
        <v>29</v>
      </c>
      <c r="E57" s="3" t="s">
        <v>37</v>
      </c>
      <c r="F57" s="3" t="s">
        <v>20</v>
      </c>
      <c r="G57" s="3" t="s">
        <v>278</v>
      </c>
      <c r="H57" s="3" t="s">
        <v>22</v>
      </c>
      <c r="I57" s="3" t="s">
        <v>23</v>
      </c>
      <c r="J57" s="3" t="n">
        <v>100</v>
      </c>
      <c r="K57" s="3" t="n">
        <v>2024</v>
      </c>
      <c r="L57" s="3" t="s">
        <v>51</v>
      </c>
      <c r="M57" s="4" t="n">
        <v>57813</v>
      </c>
      <c r="N57" s="5" t="s">
        <v>279</v>
      </c>
      <c r="O57" s="6" t="s">
        <v>26</v>
      </c>
      <c r="P57" s="3" t="s">
        <v>280</v>
      </c>
    </row>
    <row r="58" customFormat="false" ht="23.85" hidden="false" customHeight="false" outlineLevel="0" collapsed="false">
      <c r="A58" s="2" t="n">
        <v>57</v>
      </c>
      <c r="B58" s="3" t="s">
        <v>231</v>
      </c>
      <c r="C58" s="3" t="s">
        <v>281</v>
      </c>
      <c r="D58" s="2" t="s">
        <v>29</v>
      </c>
      <c r="E58" s="3" t="s">
        <v>152</v>
      </c>
      <c r="F58" s="3" t="s">
        <v>20</v>
      </c>
      <c r="G58" s="3" t="s">
        <v>282</v>
      </c>
      <c r="H58" s="3" t="s">
        <v>22</v>
      </c>
      <c r="I58" s="3" t="s">
        <v>23</v>
      </c>
      <c r="J58" s="3" t="n">
        <v>100</v>
      </c>
      <c r="K58" s="3" t="n">
        <v>2023</v>
      </c>
      <c r="L58" s="3" t="s">
        <v>51</v>
      </c>
      <c r="M58" s="4" t="n">
        <v>54903</v>
      </c>
      <c r="N58" s="5" t="s">
        <v>283</v>
      </c>
      <c r="O58" s="6" t="s">
        <v>26</v>
      </c>
      <c r="P58" s="3" t="s">
        <v>284</v>
      </c>
    </row>
    <row r="59" customFormat="false" ht="23.85" hidden="false" customHeight="false" outlineLevel="0" collapsed="false">
      <c r="A59" s="2" t="n">
        <v>58</v>
      </c>
      <c r="B59" s="3" t="s">
        <v>231</v>
      </c>
      <c r="C59" s="3" t="s">
        <v>285</v>
      </c>
      <c r="D59" s="2" t="s">
        <v>29</v>
      </c>
      <c r="E59" s="3" t="s">
        <v>152</v>
      </c>
      <c r="F59" s="3" t="s">
        <v>20</v>
      </c>
      <c r="G59" s="3" t="s">
        <v>286</v>
      </c>
      <c r="H59" s="3" t="s">
        <v>22</v>
      </c>
      <c r="I59" s="3" t="s">
        <v>23</v>
      </c>
      <c r="J59" s="3" t="n">
        <v>100</v>
      </c>
      <c r="K59" s="3" t="n">
        <v>2020</v>
      </c>
      <c r="L59" s="3" t="s">
        <v>33</v>
      </c>
      <c r="M59" s="4" t="n">
        <v>46389</v>
      </c>
      <c r="N59" s="5" t="s">
        <v>287</v>
      </c>
      <c r="O59" s="6" t="s">
        <v>26</v>
      </c>
      <c r="P59" s="3" t="s">
        <v>288</v>
      </c>
    </row>
    <row r="60" customFormat="false" ht="23.85" hidden="false" customHeight="false" outlineLevel="0" collapsed="false">
      <c r="A60" s="2" t="n">
        <v>59</v>
      </c>
      <c r="B60" s="3" t="s">
        <v>231</v>
      </c>
      <c r="C60" s="3" t="s">
        <v>289</v>
      </c>
      <c r="D60" s="2" t="s">
        <v>29</v>
      </c>
      <c r="E60" s="3" t="s">
        <v>83</v>
      </c>
      <c r="F60" s="3" t="s">
        <v>20</v>
      </c>
      <c r="G60" s="3" t="s">
        <v>290</v>
      </c>
      <c r="H60" s="3" t="s">
        <v>23</v>
      </c>
      <c r="I60" s="3" t="s">
        <v>23</v>
      </c>
      <c r="J60" s="3"/>
      <c r="K60" s="3" t="s">
        <v>66</v>
      </c>
      <c r="L60" s="3" t="s">
        <v>66</v>
      </c>
      <c r="M60" s="4" t="n">
        <v>159747</v>
      </c>
      <c r="N60" s="5" t="s">
        <v>291</v>
      </c>
      <c r="O60" s="6" t="s">
        <v>26</v>
      </c>
      <c r="P60" s="3" t="s">
        <v>292</v>
      </c>
    </row>
    <row r="61" customFormat="false" ht="15" hidden="false" customHeight="false" outlineLevel="0" collapsed="false">
      <c r="A61" s="2" t="n">
        <v>60</v>
      </c>
      <c r="B61" s="3" t="s">
        <v>231</v>
      </c>
      <c r="C61" s="3" t="s">
        <v>293</v>
      </c>
      <c r="D61" s="2" t="s">
        <v>29</v>
      </c>
      <c r="E61" s="3" t="s">
        <v>37</v>
      </c>
      <c r="F61" s="3" t="s">
        <v>20</v>
      </c>
      <c r="G61" s="3" t="s">
        <v>294</v>
      </c>
      <c r="H61" s="3" t="s">
        <v>22</v>
      </c>
      <c r="I61" s="3" t="s">
        <v>23</v>
      </c>
      <c r="J61" s="3" t="n">
        <v>100</v>
      </c>
      <c r="K61" s="3" t="n">
        <v>2024</v>
      </c>
      <c r="L61" s="3" t="s">
        <v>51</v>
      </c>
      <c r="M61" s="4" t="n">
        <v>94827</v>
      </c>
      <c r="N61" s="5" t="s">
        <v>295</v>
      </c>
      <c r="O61" s="6" t="s">
        <v>26</v>
      </c>
      <c r="P61" s="3" t="s">
        <v>296</v>
      </c>
    </row>
    <row r="62" customFormat="false" ht="23.85" hidden="false" customHeight="false" outlineLevel="0" collapsed="false">
      <c r="A62" s="2" t="n">
        <v>61</v>
      </c>
      <c r="B62" s="3" t="s">
        <v>231</v>
      </c>
      <c r="C62" s="3" t="s">
        <v>297</v>
      </c>
      <c r="D62" s="2" t="s">
        <v>29</v>
      </c>
      <c r="E62" s="3" t="s">
        <v>30</v>
      </c>
      <c r="F62" s="3" t="s">
        <v>31</v>
      </c>
      <c r="G62" s="3" t="s">
        <v>298</v>
      </c>
      <c r="H62" s="3" t="s">
        <v>22</v>
      </c>
      <c r="I62" s="3" t="s">
        <v>23</v>
      </c>
      <c r="J62" s="3" t="n">
        <v>100</v>
      </c>
      <c r="K62" s="3" t="n">
        <v>2022</v>
      </c>
      <c r="L62" s="3" t="s">
        <v>51</v>
      </c>
      <c r="M62" s="4" t="n">
        <v>54236</v>
      </c>
      <c r="N62" s="5" t="s">
        <v>299</v>
      </c>
      <c r="O62" s="6" t="s">
        <v>26</v>
      </c>
      <c r="P62" s="3" t="s">
        <v>300</v>
      </c>
    </row>
    <row r="63" customFormat="false" ht="15" hidden="false" customHeight="false" outlineLevel="0" collapsed="false">
      <c r="A63" s="2" t="n">
        <v>62</v>
      </c>
      <c r="B63" s="3" t="s">
        <v>231</v>
      </c>
      <c r="C63" s="3" t="s">
        <v>301</v>
      </c>
      <c r="D63" s="2" t="s">
        <v>29</v>
      </c>
      <c r="E63" s="3" t="s">
        <v>19</v>
      </c>
      <c r="F63" s="3" t="s">
        <v>20</v>
      </c>
      <c r="G63" s="3" t="s">
        <v>302</v>
      </c>
      <c r="H63" s="3" t="s">
        <v>22</v>
      </c>
      <c r="I63" s="3" t="s">
        <v>23</v>
      </c>
      <c r="J63" s="3" t="n">
        <v>100</v>
      </c>
      <c r="K63" s="3" t="n">
        <v>2024</v>
      </c>
      <c r="L63" s="3" t="s">
        <v>51</v>
      </c>
      <c r="M63" s="4"/>
      <c r="N63" s="5" t="s">
        <v>66</v>
      </c>
      <c r="O63" s="6" t="s">
        <v>26</v>
      </c>
      <c r="P63" s="3"/>
    </row>
    <row r="64" customFormat="false" ht="15" hidden="false" customHeight="false" outlineLevel="0" collapsed="false">
      <c r="A64" s="2" t="n">
        <v>63</v>
      </c>
      <c r="B64" s="3" t="s">
        <v>231</v>
      </c>
      <c r="C64" s="3" t="s">
        <v>303</v>
      </c>
      <c r="D64" s="2" t="s">
        <v>29</v>
      </c>
      <c r="E64" s="3" t="s">
        <v>37</v>
      </c>
      <c r="F64" s="3" t="s">
        <v>20</v>
      </c>
      <c r="G64" s="3" t="s">
        <v>304</v>
      </c>
      <c r="H64" s="3" t="s">
        <v>22</v>
      </c>
      <c r="I64" s="3" t="s">
        <v>23</v>
      </c>
      <c r="J64" s="3" t="n">
        <v>100</v>
      </c>
      <c r="K64" s="3" t="n">
        <v>2022</v>
      </c>
      <c r="L64" s="3" t="s">
        <v>51</v>
      </c>
      <c r="M64" s="4" t="n">
        <v>65826</v>
      </c>
      <c r="N64" s="5" t="s">
        <v>305</v>
      </c>
      <c r="O64" s="6" t="s">
        <v>26</v>
      </c>
      <c r="P64" s="3" t="s">
        <v>306</v>
      </c>
    </row>
    <row r="65" customFormat="false" ht="15" hidden="false" customHeight="false" outlineLevel="0" collapsed="false">
      <c r="A65" s="2" t="n">
        <v>64</v>
      </c>
      <c r="B65" s="3" t="s">
        <v>231</v>
      </c>
      <c r="C65" s="3" t="s">
        <v>307</v>
      </c>
      <c r="D65" s="2" t="s">
        <v>29</v>
      </c>
      <c r="E65" s="3" t="s">
        <v>59</v>
      </c>
      <c r="F65" s="3" t="s">
        <v>20</v>
      </c>
      <c r="G65" s="3" t="s">
        <v>308</v>
      </c>
      <c r="H65" s="3" t="s">
        <v>22</v>
      </c>
      <c r="I65" s="3" t="s">
        <v>23</v>
      </c>
      <c r="J65" s="3" t="n">
        <v>100</v>
      </c>
      <c r="K65" s="3" t="n">
        <v>2023</v>
      </c>
      <c r="L65" s="3" t="s">
        <v>51</v>
      </c>
      <c r="M65" s="4" t="n">
        <v>58384</v>
      </c>
      <c r="N65" s="5" t="s">
        <v>309</v>
      </c>
      <c r="O65" s="6" t="s">
        <v>26</v>
      </c>
      <c r="P65" s="3" t="s">
        <v>310</v>
      </c>
    </row>
    <row r="66" customFormat="false" ht="15" hidden="false" customHeight="false" outlineLevel="0" collapsed="false">
      <c r="A66" s="2" t="n">
        <v>65</v>
      </c>
      <c r="B66" s="3" t="s">
        <v>231</v>
      </c>
      <c r="C66" s="3" t="s">
        <v>311</v>
      </c>
      <c r="D66" s="2" t="s">
        <v>29</v>
      </c>
      <c r="E66" s="3" t="s">
        <v>30</v>
      </c>
      <c r="F66" s="3" t="s">
        <v>31</v>
      </c>
      <c r="G66" s="3" t="s">
        <v>312</v>
      </c>
      <c r="H66" s="3" t="s">
        <v>22</v>
      </c>
      <c r="I66" s="3" t="s">
        <v>23</v>
      </c>
      <c r="J66" s="3" t="n">
        <v>100</v>
      </c>
      <c r="K66" s="3" t="n">
        <v>2022</v>
      </c>
      <c r="L66" s="3" t="s">
        <v>51</v>
      </c>
      <c r="M66" s="4" t="n">
        <v>75939</v>
      </c>
      <c r="N66" s="5" t="s">
        <v>313</v>
      </c>
      <c r="O66" s="6" t="s">
        <v>26</v>
      </c>
      <c r="P66" s="3" t="s">
        <v>314</v>
      </c>
    </row>
    <row r="67" customFormat="false" ht="15" hidden="false" customHeight="false" outlineLevel="0" collapsed="false">
      <c r="A67" s="2" t="n">
        <v>66</v>
      </c>
      <c r="B67" s="3" t="s">
        <v>231</v>
      </c>
      <c r="C67" s="3" t="s">
        <v>315</v>
      </c>
      <c r="D67" s="2" t="s">
        <v>29</v>
      </c>
      <c r="E67" s="3" t="s">
        <v>59</v>
      </c>
      <c r="F67" s="3" t="s">
        <v>20</v>
      </c>
      <c r="G67" s="3" t="s">
        <v>316</v>
      </c>
      <c r="H67" s="3" t="s">
        <v>22</v>
      </c>
      <c r="I67" s="3" t="s">
        <v>23</v>
      </c>
      <c r="J67" s="3" t="n">
        <v>100</v>
      </c>
      <c r="K67" s="3" t="s">
        <v>66</v>
      </c>
      <c r="L67" s="3" t="s">
        <v>66</v>
      </c>
      <c r="M67" s="4" t="n">
        <v>54592</v>
      </c>
      <c r="N67" s="5" t="s">
        <v>317</v>
      </c>
      <c r="O67" s="6" t="s">
        <v>26</v>
      </c>
      <c r="P67" s="3" t="s">
        <v>318</v>
      </c>
    </row>
    <row r="68" customFormat="false" ht="35.05" hidden="false" customHeight="false" outlineLevel="0" collapsed="false">
      <c r="A68" s="2" t="n">
        <v>67</v>
      </c>
      <c r="B68" s="3" t="s">
        <v>231</v>
      </c>
      <c r="C68" s="3" t="s">
        <v>319</v>
      </c>
      <c r="D68" s="2" t="s">
        <v>29</v>
      </c>
      <c r="E68" s="3" t="s">
        <v>59</v>
      </c>
      <c r="F68" s="3" t="s">
        <v>93</v>
      </c>
      <c r="G68" s="3" t="s">
        <v>320</v>
      </c>
      <c r="H68" s="3" t="s">
        <v>22</v>
      </c>
      <c r="I68" s="3" t="s">
        <v>23</v>
      </c>
      <c r="J68" s="3" t="n">
        <v>100</v>
      </c>
      <c r="K68" s="3" t="n">
        <v>2025</v>
      </c>
      <c r="L68" s="3" t="s">
        <v>51</v>
      </c>
      <c r="M68" s="4" t="n">
        <v>56024</v>
      </c>
      <c r="N68" s="5" t="s">
        <v>321</v>
      </c>
      <c r="O68" s="6" t="s">
        <v>26</v>
      </c>
      <c r="P68" s="3" t="s">
        <v>322</v>
      </c>
    </row>
    <row r="69" customFormat="false" ht="15" hidden="false" customHeight="false" outlineLevel="0" collapsed="false">
      <c r="A69" s="2" t="n">
        <v>68</v>
      </c>
      <c r="B69" s="3" t="s">
        <v>231</v>
      </c>
      <c r="C69" s="3" t="s">
        <v>323</v>
      </c>
      <c r="D69" s="2" t="s">
        <v>29</v>
      </c>
      <c r="E69" s="3" t="s">
        <v>30</v>
      </c>
      <c r="F69" s="3" t="s">
        <v>31</v>
      </c>
      <c r="G69" s="3" t="s">
        <v>324</v>
      </c>
      <c r="H69" s="3" t="s">
        <v>22</v>
      </c>
      <c r="I69" s="3" t="s">
        <v>23</v>
      </c>
      <c r="J69" s="3" t="n">
        <v>100</v>
      </c>
      <c r="K69" s="3" t="n">
        <v>2022</v>
      </c>
      <c r="L69" s="3" t="s">
        <v>51</v>
      </c>
      <c r="M69" s="4" t="n">
        <v>68974</v>
      </c>
      <c r="N69" s="5" t="s">
        <v>325</v>
      </c>
      <c r="O69" s="6" t="s">
        <v>26</v>
      </c>
      <c r="P69" s="3" t="s">
        <v>326</v>
      </c>
    </row>
    <row r="70" customFormat="false" ht="23.85" hidden="false" customHeight="false" outlineLevel="0" collapsed="false">
      <c r="A70" s="2" t="n">
        <v>69</v>
      </c>
      <c r="B70" s="3" t="s">
        <v>231</v>
      </c>
      <c r="C70" s="3" t="s">
        <v>327</v>
      </c>
      <c r="D70" s="2" t="s">
        <v>29</v>
      </c>
      <c r="E70" s="3" t="s">
        <v>59</v>
      </c>
      <c r="F70" s="3" t="s">
        <v>20</v>
      </c>
      <c r="G70" s="3" t="s">
        <v>328</v>
      </c>
      <c r="H70" s="3" t="s">
        <v>22</v>
      </c>
      <c r="I70" s="3" t="s">
        <v>23</v>
      </c>
      <c r="J70" s="3" t="n">
        <v>100</v>
      </c>
      <c r="K70" s="3" t="n">
        <v>2020</v>
      </c>
      <c r="L70" s="3" t="s">
        <v>51</v>
      </c>
      <c r="M70" s="4" t="n">
        <v>38280</v>
      </c>
      <c r="N70" s="5" t="s">
        <v>329</v>
      </c>
      <c r="O70" s="6" t="s">
        <v>26</v>
      </c>
      <c r="P70" s="3" t="s">
        <v>330</v>
      </c>
    </row>
    <row r="71" customFormat="false" ht="35.05" hidden="false" customHeight="false" outlineLevel="0" collapsed="false">
      <c r="A71" s="2" t="n">
        <v>70</v>
      </c>
      <c r="B71" s="3" t="s">
        <v>231</v>
      </c>
      <c r="C71" s="3" t="s">
        <v>331</v>
      </c>
      <c r="D71" s="2" t="s">
        <v>29</v>
      </c>
      <c r="E71" s="3" t="s">
        <v>59</v>
      </c>
      <c r="F71" s="3" t="s">
        <v>20</v>
      </c>
      <c r="G71" s="3" t="s">
        <v>332</v>
      </c>
      <c r="H71" s="3" t="s">
        <v>22</v>
      </c>
      <c r="I71" s="3" t="s">
        <v>23</v>
      </c>
      <c r="J71" s="3" t="n">
        <v>100</v>
      </c>
      <c r="K71" s="3" t="n">
        <v>2022</v>
      </c>
      <c r="L71" s="3" t="s">
        <v>51</v>
      </c>
      <c r="M71" s="4" t="n">
        <v>47247</v>
      </c>
      <c r="N71" s="5" t="s">
        <v>333</v>
      </c>
      <c r="O71" s="6" t="s">
        <v>26</v>
      </c>
      <c r="P71" s="3" t="s">
        <v>334</v>
      </c>
    </row>
    <row r="72" customFormat="false" ht="15" hidden="false" customHeight="false" outlineLevel="0" collapsed="false">
      <c r="A72" s="2" t="n">
        <v>71</v>
      </c>
      <c r="B72" s="3" t="s">
        <v>231</v>
      </c>
      <c r="C72" s="3" t="s">
        <v>335</v>
      </c>
      <c r="D72" s="2" t="s">
        <v>29</v>
      </c>
      <c r="E72" s="3" t="s">
        <v>37</v>
      </c>
      <c r="F72" s="3" t="s">
        <v>31</v>
      </c>
      <c r="G72" s="3" t="s">
        <v>336</v>
      </c>
      <c r="H72" s="3" t="s">
        <v>22</v>
      </c>
      <c r="I72" s="3" t="s">
        <v>23</v>
      </c>
      <c r="J72" s="3" t="n">
        <v>100</v>
      </c>
      <c r="K72" s="3" t="s">
        <v>66</v>
      </c>
      <c r="L72" s="3" t="s">
        <v>66</v>
      </c>
      <c r="M72" s="4" t="n">
        <v>43980</v>
      </c>
      <c r="N72" s="5" t="s">
        <v>337</v>
      </c>
      <c r="O72" s="6" t="s">
        <v>26</v>
      </c>
      <c r="P72" s="3" t="s">
        <v>338</v>
      </c>
    </row>
    <row r="73" customFormat="false" ht="23.85" hidden="false" customHeight="false" outlineLevel="0" collapsed="false">
      <c r="A73" s="2" t="n">
        <v>72</v>
      </c>
      <c r="B73" s="3" t="s">
        <v>231</v>
      </c>
      <c r="C73" s="3" t="s">
        <v>339</v>
      </c>
      <c r="D73" s="2" t="s">
        <v>29</v>
      </c>
      <c r="E73" s="3" t="s">
        <v>37</v>
      </c>
      <c r="F73" s="3" t="s">
        <v>20</v>
      </c>
      <c r="G73" s="3" t="s">
        <v>340</v>
      </c>
      <c r="H73" s="3" t="s">
        <v>22</v>
      </c>
      <c r="I73" s="3" t="s">
        <v>23</v>
      </c>
      <c r="J73" s="3" t="n">
        <v>100</v>
      </c>
      <c r="K73" s="3" t="n">
        <v>2024</v>
      </c>
      <c r="L73" s="3" t="s">
        <v>51</v>
      </c>
      <c r="M73" s="4" t="n">
        <v>84048</v>
      </c>
      <c r="N73" s="5" t="s">
        <v>341</v>
      </c>
      <c r="O73" s="6" t="s">
        <v>26</v>
      </c>
      <c r="P73" s="3" t="s">
        <v>342</v>
      </c>
    </row>
    <row r="74" customFormat="false" ht="23.85" hidden="false" customHeight="false" outlineLevel="0" collapsed="false">
      <c r="A74" s="2" t="n">
        <v>73</v>
      </c>
      <c r="B74" s="3" t="s">
        <v>231</v>
      </c>
      <c r="C74" s="3" t="s">
        <v>343</v>
      </c>
      <c r="D74" s="2" t="s">
        <v>29</v>
      </c>
      <c r="E74" s="3" t="s">
        <v>37</v>
      </c>
      <c r="F74" s="3" t="s">
        <v>20</v>
      </c>
      <c r="G74" s="3" t="s">
        <v>344</v>
      </c>
      <c r="H74" s="3" t="s">
        <v>22</v>
      </c>
      <c r="I74" s="3" t="s">
        <v>23</v>
      </c>
      <c r="J74" s="3" t="n">
        <v>100</v>
      </c>
      <c r="K74" s="3" t="n">
        <v>2024</v>
      </c>
      <c r="L74" s="3" t="s">
        <v>51</v>
      </c>
      <c r="M74" s="4" t="n">
        <v>81543</v>
      </c>
      <c r="N74" s="5" t="s">
        <v>345</v>
      </c>
      <c r="O74" s="6" t="s">
        <v>26</v>
      </c>
      <c r="P74" s="3" t="s">
        <v>346</v>
      </c>
    </row>
    <row r="75" customFormat="false" ht="23.85" hidden="false" customHeight="false" outlineLevel="0" collapsed="false">
      <c r="A75" s="2" t="n">
        <v>74</v>
      </c>
      <c r="B75" s="3" t="s">
        <v>231</v>
      </c>
      <c r="C75" s="3" t="s">
        <v>347</v>
      </c>
      <c r="D75" s="2" t="s">
        <v>29</v>
      </c>
      <c r="E75" s="3" t="s">
        <v>37</v>
      </c>
      <c r="F75" s="3" t="s">
        <v>20</v>
      </c>
      <c r="G75" s="3" t="s">
        <v>348</v>
      </c>
      <c r="H75" s="3" t="s">
        <v>22</v>
      </c>
      <c r="I75" s="3" t="s">
        <v>23</v>
      </c>
      <c r="J75" s="3" t="n">
        <v>100</v>
      </c>
      <c r="K75" s="3" t="n">
        <v>2023</v>
      </c>
      <c r="L75" s="3" t="s">
        <v>51</v>
      </c>
      <c r="M75" s="4" t="n">
        <v>54402</v>
      </c>
      <c r="N75" s="5" t="s">
        <v>349</v>
      </c>
      <c r="O75" s="6" t="s">
        <v>26</v>
      </c>
      <c r="P75" s="3" t="s">
        <v>350</v>
      </c>
    </row>
    <row r="76" customFormat="false" ht="35.05" hidden="false" customHeight="false" outlineLevel="0" collapsed="false">
      <c r="A76" s="2" t="n">
        <v>75</v>
      </c>
      <c r="B76" s="3" t="s">
        <v>231</v>
      </c>
      <c r="C76" s="3" t="s">
        <v>351</v>
      </c>
      <c r="D76" s="2" t="s">
        <v>29</v>
      </c>
      <c r="E76" s="3" t="s">
        <v>352</v>
      </c>
      <c r="F76" s="3" t="s">
        <v>20</v>
      </c>
      <c r="G76" s="3" t="s">
        <v>353</v>
      </c>
      <c r="H76" s="3" t="s">
        <v>22</v>
      </c>
      <c r="I76" s="3" t="s">
        <v>23</v>
      </c>
      <c r="J76" s="3" t="n">
        <v>100</v>
      </c>
      <c r="K76" s="3" t="n">
        <v>2022</v>
      </c>
      <c r="L76" s="3" t="s">
        <v>39</v>
      </c>
      <c r="M76" s="4" t="n">
        <v>63226</v>
      </c>
      <c r="N76" s="5" t="s">
        <v>354</v>
      </c>
      <c r="O76" s="6" t="s">
        <v>26</v>
      </c>
      <c r="P76" s="3" t="s">
        <v>355</v>
      </c>
    </row>
    <row r="77" customFormat="false" ht="35.05" hidden="false" customHeight="false" outlineLevel="0" collapsed="false">
      <c r="A77" s="2" t="n">
        <v>76</v>
      </c>
      <c r="B77" s="3" t="s">
        <v>231</v>
      </c>
      <c r="C77" s="3" t="s">
        <v>356</v>
      </c>
      <c r="D77" s="2" t="s">
        <v>29</v>
      </c>
      <c r="E77" s="3" t="s">
        <v>352</v>
      </c>
      <c r="F77" s="3" t="s">
        <v>20</v>
      </c>
      <c r="G77" s="3" t="s">
        <v>357</v>
      </c>
      <c r="H77" s="3" t="s">
        <v>22</v>
      </c>
      <c r="I77" s="3" t="s">
        <v>23</v>
      </c>
      <c r="J77" s="3" t="n">
        <v>100</v>
      </c>
      <c r="K77" s="3" t="n">
        <v>2025</v>
      </c>
      <c r="L77" s="3" t="s">
        <v>39</v>
      </c>
      <c r="M77" s="4" t="n">
        <v>55118</v>
      </c>
      <c r="N77" s="5" t="s">
        <v>358</v>
      </c>
      <c r="O77" s="6" t="s">
        <v>26</v>
      </c>
      <c r="P77" s="3" t="s">
        <v>359</v>
      </c>
    </row>
    <row r="78" customFormat="false" ht="35.05" hidden="false" customHeight="false" outlineLevel="0" collapsed="false">
      <c r="A78" s="2" t="n">
        <v>77</v>
      </c>
      <c r="B78" s="3" t="s">
        <v>231</v>
      </c>
      <c r="C78" s="3" t="s">
        <v>360</v>
      </c>
      <c r="D78" s="2" t="s">
        <v>29</v>
      </c>
      <c r="E78" s="3" t="s">
        <v>361</v>
      </c>
      <c r="F78" s="3" t="s">
        <v>20</v>
      </c>
      <c r="G78" s="3" t="s">
        <v>362</v>
      </c>
      <c r="H78" s="3" t="s">
        <v>22</v>
      </c>
      <c r="I78" s="3" t="s">
        <v>23</v>
      </c>
      <c r="J78" s="3" t="n">
        <v>100</v>
      </c>
      <c r="K78" s="3" t="n">
        <v>2023</v>
      </c>
      <c r="L78" s="3" t="s">
        <v>39</v>
      </c>
      <c r="M78" s="4" t="n">
        <v>57956</v>
      </c>
      <c r="N78" s="5" t="s">
        <v>363</v>
      </c>
      <c r="O78" s="6" t="s">
        <v>26</v>
      </c>
      <c r="P78" s="3" t="s">
        <v>364</v>
      </c>
    </row>
    <row r="79" customFormat="false" ht="35.05" hidden="false" customHeight="false" outlineLevel="0" collapsed="false">
      <c r="A79" s="2" t="n">
        <v>78</v>
      </c>
      <c r="B79" s="3" t="s">
        <v>231</v>
      </c>
      <c r="C79" s="3" t="s">
        <v>365</v>
      </c>
      <c r="D79" s="2" t="s">
        <v>29</v>
      </c>
      <c r="E79" s="3" t="s">
        <v>37</v>
      </c>
      <c r="F79" s="3" t="s">
        <v>20</v>
      </c>
      <c r="G79" s="3" t="s">
        <v>366</v>
      </c>
      <c r="H79" s="3" t="s">
        <v>22</v>
      </c>
      <c r="I79" s="3" t="s">
        <v>23</v>
      </c>
      <c r="J79" s="3" t="n">
        <v>100</v>
      </c>
      <c r="K79" s="3" t="n">
        <v>2026</v>
      </c>
      <c r="L79" s="3" t="s">
        <v>39</v>
      </c>
      <c r="M79" s="4" t="n">
        <v>144746</v>
      </c>
      <c r="N79" s="5" t="s">
        <v>367</v>
      </c>
      <c r="O79" s="6" t="s">
        <v>26</v>
      </c>
      <c r="P79" s="3" t="s">
        <v>368</v>
      </c>
    </row>
    <row r="80" customFormat="false" ht="15" hidden="false" customHeight="false" outlineLevel="0" collapsed="false">
      <c r="A80" s="2" t="n">
        <v>79</v>
      </c>
      <c r="B80" s="3" t="s">
        <v>231</v>
      </c>
      <c r="C80" s="3" t="s">
        <v>369</v>
      </c>
      <c r="D80" s="2" t="s">
        <v>29</v>
      </c>
      <c r="E80" s="3" t="s">
        <v>59</v>
      </c>
      <c r="F80" s="3" t="s">
        <v>20</v>
      </c>
      <c r="G80" s="3" t="s">
        <v>370</v>
      </c>
      <c r="H80" s="3" t="s">
        <v>22</v>
      </c>
      <c r="I80" s="3" t="s">
        <v>23</v>
      </c>
      <c r="J80" s="3" t="n">
        <v>100</v>
      </c>
      <c r="K80" s="3" t="n">
        <v>2023</v>
      </c>
      <c r="L80" s="3" t="s">
        <v>51</v>
      </c>
      <c r="M80" s="4" t="n">
        <v>113502</v>
      </c>
      <c r="N80" s="5" t="s">
        <v>371</v>
      </c>
      <c r="O80" s="6" t="s">
        <v>26</v>
      </c>
      <c r="P80" s="3" t="s">
        <v>372</v>
      </c>
    </row>
    <row r="81" customFormat="false" ht="15" hidden="false" customHeight="false" outlineLevel="0" collapsed="false">
      <c r="A81" s="2" t="n">
        <v>80</v>
      </c>
      <c r="B81" s="3" t="s">
        <v>231</v>
      </c>
      <c r="C81" s="3" t="s">
        <v>373</v>
      </c>
      <c r="D81" s="2" t="s">
        <v>29</v>
      </c>
      <c r="E81" s="3" t="s">
        <v>83</v>
      </c>
      <c r="F81" s="3" t="s">
        <v>20</v>
      </c>
      <c r="G81" s="3" t="s">
        <v>374</v>
      </c>
      <c r="H81" s="3" t="s">
        <v>375</v>
      </c>
      <c r="I81" s="3" t="s">
        <v>375</v>
      </c>
      <c r="J81" s="3"/>
      <c r="K81" s="3" t="s">
        <v>66</v>
      </c>
      <c r="L81" s="3" t="s">
        <v>66</v>
      </c>
      <c r="M81" s="4"/>
      <c r="N81" s="5" t="s">
        <v>66</v>
      </c>
      <c r="O81" s="6" t="s">
        <v>26</v>
      </c>
      <c r="P81" s="3"/>
    </row>
    <row r="82" customFormat="false" ht="15" hidden="false" customHeight="false" outlineLevel="0" collapsed="false">
      <c r="A82" s="2" t="n">
        <v>81</v>
      </c>
      <c r="B82" s="3" t="s">
        <v>231</v>
      </c>
      <c r="C82" s="3" t="s">
        <v>376</v>
      </c>
      <c r="D82" s="2" t="s">
        <v>29</v>
      </c>
      <c r="E82" s="3" t="s">
        <v>83</v>
      </c>
      <c r="F82" s="3" t="s">
        <v>93</v>
      </c>
      <c r="G82" s="3" t="s">
        <v>377</v>
      </c>
      <c r="H82" s="3" t="s">
        <v>375</v>
      </c>
      <c r="I82" s="3" t="s">
        <v>375</v>
      </c>
      <c r="J82" s="3"/>
      <c r="K82" s="3" t="s">
        <v>66</v>
      </c>
      <c r="L82" s="3" t="s">
        <v>66</v>
      </c>
      <c r="M82" s="4"/>
      <c r="N82" s="5" t="s">
        <v>66</v>
      </c>
      <c r="O82" s="6" t="s">
        <v>26</v>
      </c>
      <c r="P82" s="3"/>
    </row>
    <row r="83" customFormat="false" ht="15" hidden="false" customHeight="false" outlineLevel="0" collapsed="false">
      <c r="A83" s="2" t="n">
        <v>82</v>
      </c>
      <c r="B83" s="3" t="s">
        <v>231</v>
      </c>
      <c r="C83" s="3" t="s">
        <v>378</v>
      </c>
      <c r="D83" s="2" t="s">
        <v>29</v>
      </c>
      <c r="E83" s="3" t="s">
        <v>83</v>
      </c>
      <c r="F83" s="3" t="s">
        <v>20</v>
      </c>
      <c r="G83" s="3" t="s">
        <v>379</v>
      </c>
      <c r="H83" s="3" t="s">
        <v>375</v>
      </c>
      <c r="I83" s="3" t="s">
        <v>375</v>
      </c>
      <c r="J83" s="3"/>
      <c r="K83" s="3" t="s">
        <v>66</v>
      </c>
      <c r="L83" s="3" t="s">
        <v>66</v>
      </c>
      <c r="M83" s="4"/>
      <c r="N83" s="5" t="s">
        <v>66</v>
      </c>
      <c r="O83" s="6" t="s">
        <v>26</v>
      </c>
      <c r="P83" s="3"/>
    </row>
    <row r="84" customFormat="false" ht="15" hidden="false" customHeight="false" outlineLevel="0" collapsed="false">
      <c r="A84" s="2" t="n">
        <v>83</v>
      </c>
      <c r="B84" s="3" t="s">
        <v>231</v>
      </c>
      <c r="C84" s="3" t="s">
        <v>380</v>
      </c>
      <c r="D84" s="2" t="s">
        <v>29</v>
      </c>
      <c r="E84" s="3" t="s">
        <v>30</v>
      </c>
      <c r="F84" s="3" t="s">
        <v>31</v>
      </c>
      <c r="G84" s="3" t="s">
        <v>381</v>
      </c>
      <c r="H84" s="3" t="s">
        <v>375</v>
      </c>
      <c r="I84" s="3" t="s">
        <v>375</v>
      </c>
      <c r="J84" s="3"/>
      <c r="K84" s="3" t="s">
        <v>66</v>
      </c>
      <c r="L84" s="3" t="s">
        <v>66</v>
      </c>
      <c r="M84" s="4"/>
      <c r="N84" s="5" t="s">
        <v>66</v>
      </c>
      <c r="O84" s="6" t="s">
        <v>26</v>
      </c>
      <c r="P84" s="3"/>
    </row>
    <row r="85" customFormat="false" ht="23.85" hidden="false" customHeight="false" outlineLevel="0" collapsed="false">
      <c r="A85" s="2" t="n">
        <v>84</v>
      </c>
      <c r="B85" s="3" t="s">
        <v>231</v>
      </c>
      <c r="C85" s="3" t="s">
        <v>382</v>
      </c>
      <c r="D85" s="2" t="s">
        <v>29</v>
      </c>
      <c r="E85" s="3" t="s">
        <v>30</v>
      </c>
      <c r="F85" s="3" t="s">
        <v>20</v>
      </c>
      <c r="G85" s="3" t="s">
        <v>383</v>
      </c>
      <c r="H85" s="3" t="s">
        <v>22</v>
      </c>
      <c r="I85" s="3" t="s">
        <v>23</v>
      </c>
      <c r="J85" s="3" t="n">
        <v>100</v>
      </c>
      <c r="K85" s="3" t="n">
        <v>2022</v>
      </c>
      <c r="L85" s="3" t="s">
        <v>61</v>
      </c>
      <c r="M85" s="4" t="n">
        <v>54544</v>
      </c>
      <c r="N85" s="5" t="s">
        <v>384</v>
      </c>
      <c r="O85" s="6" t="s">
        <v>26</v>
      </c>
      <c r="P85" s="3" t="s">
        <v>385</v>
      </c>
    </row>
    <row r="86" customFormat="false" ht="23.85" hidden="false" customHeight="false" outlineLevel="0" collapsed="false">
      <c r="A86" s="2" t="n">
        <v>85</v>
      </c>
      <c r="B86" s="3" t="s">
        <v>231</v>
      </c>
      <c r="C86" s="3" t="s">
        <v>386</v>
      </c>
      <c r="D86" s="2" t="s">
        <v>29</v>
      </c>
      <c r="E86" s="3" t="s">
        <v>37</v>
      </c>
      <c r="F86" s="3" t="s">
        <v>20</v>
      </c>
      <c r="G86" s="3" t="s">
        <v>387</v>
      </c>
      <c r="H86" s="3" t="s">
        <v>22</v>
      </c>
      <c r="I86" s="3" t="s">
        <v>23</v>
      </c>
      <c r="J86" s="3" t="n">
        <v>100</v>
      </c>
      <c r="K86" s="3" t="n">
        <v>2024</v>
      </c>
      <c r="L86" s="3" t="s">
        <v>33</v>
      </c>
      <c r="M86" s="4" t="n">
        <v>50848</v>
      </c>
      <c r="N86" s="5" t="s">
        <v>388</v>
      </c>
      <c r="O86" s="6" t="s">
        <v>26</v>
      </c>
      <c r="P86" s="3" t="s">
        <v>389</v>
      </c>
    </row>
    <row r="87" customFormat="false" ht="15" hidden="false" customHeight="false" outlineLevel="0" collapsed="false">
      <c r="A87" s="2" t="n">
        <v>86</v>
      </c>
      <c r="B87" s="3" t="s">
        <v>231</v>
      </c>
      <c r="C87" s="3" t="s">
        <v>390</v>
      </c>
      <c r="D87" s="2" t="s">
        <v>29</v>
      </c>
      <c r="E87" s="3" t="s">
        <v>143</v>
      </c>
      <c r="F87" s="3" t="s">
        <v>20</v>
      </c>
      <c r="G87" s="3" t="s">
        <v>391</v>
      </c>
      <c r="H87" s="3" t="s">
        <v>22</v>
      </c>
      <c r="I87" s="3" t="s">
        <v>23</v>
      </c>
      <c r="J87" s="3" t="n">
        <v>100</v>
      </c>
      <c r="K87" s="3" t="n">
        <v>2024</v>
      </c>
      <c r="L87" s="3" t="s">
        <v>33</v>
      </c>
      <c r="M87" s="4"/>
      <c r="N87" s="5" t="s">
        <v>66</v>
      </c>
      <c r="O87" s="6" t="s">
        <v>26</v>
      </c>
      <c r="P87" s="3"/>
    </row>
    <row r="88" customFormat="false" ht="23.85" hidden="false" customHeight="false" outlineLevel="0" collapsed="false">
      <c r="A88" s="2" t="n">
        <v>87</v>
      </c>
      <c r="B88" s="3" t="s">
        <v>231</v>
      </c>
      <c r="C88" s="3" t="s">
        <v>392</v>
      </c>
      <c r="D88" s="2" t="s">
        <v>29</v>
      </c>
      <c r="E88" s="3" t="s">
        <v>143</v>
      </c>
      <c r="F88" s="3" t="s">
        <v>20</v>
      </c>
      <c r="G88" s="3" t="s">
        <v>393</v>
      </c>
      <c r="H88" s="3" t="s">
        <v>22</v>
      </c>
      <c r="I88" s="3" t="s">
        <v>23</v>
      </c>
      <c r="J88" s="3" t="n">
        <v>100</v>
      </c>
      <c r="K88" s="3" t="n">
        <v>2024</v>
      </c>
      <c r="L88" s="3" t="s">
        <v>33</v>
      </c>
      <c r="M88" s="4" t="n">
        <v>51921</v>
      </c>
      <c r="N88" s="5" t="s">
        <v>394</v>
      </c>
      <c r="O88" s="6" t="s">
        <v>26</v>
      </c>
      <c r="P88" s="3" t="s">
        <v>395</v>
      </c>
    </row>
    <row r="89" customFormat="false" ht="23.85" hidden="false" customHeight="false" outlineLevel="0" collapsed="false">
      <c r="A89" s="2" t="n">
        <v>88</v>
      </c>
      <c r="B89" s="3" t="s">
        <v>231</v>
      </c>
      <c r="C89" s="3" t="s">
        <v>396</v>
      </c>
      <c r="D89" s="2" t="s">
        <v>29</v>
      </c>
      <c r="E89" s="3" t="s">
        <v>30</v>
      </c>
      <c r="F89" s="3" t="s">
        <v>20</v>
      </c>
      <c r="G89" s="3" t="s">
        <v>397</v>
      </c>
      <c r="H89" s="3" t="s">
        <v>22</v>
      </c>
      <c r="I89" s="3" t="s">
        <v>23</v>
      </c>
      <c r="J89" s="3" t="n">
        <v>100</v>
      </c>
      <c r="K89" s="3" t="s">
        <v>66</v>
      </c>
      <c r="L89" s="3" t="s">
        <v>66</v>
      </c>
      <c r="M89" s="4" t="n">
        <v>102292</v>
      </c>
      <c r="N89" s="5" t="s">
        <v>398</v>
      </c>
      <c r="O89" s="6" t="s">
        <v>26</v>
      </c>
      <c r="P89" s="3" t="s">
        <v>399</v>
      </c>
    </row>
    <row r="90" customFormat="false" ht="23.85" hidden="false" customHeight="false" outlineLevel="0" collapsed="false">
      <c r="A90" s="2" t="n">
        <v>89</v>
      </c>
      <c r="B90" s="3" t="s">
        <v>231</v>
      </c>
      <c r="C90" s="3" t="s">
        <v>400</v>
      </c>
      <c r="D90" s="2" t="s">
        <v>29</v>
      </c>
      <c r="E90" s="3" t="s">
        <v>401</v>
      </c>
      <c r="F90" s="3" t="s">
        <v>20</v>
      </c>
      <c r="G90" s="3" t="s">
        <v>402</v>
      </c>
      <c r="H90" s="3" t="s">
        <v>22</v>
      </c>
      <c r="I90" s="3" t="s">
        <v>23</v>
      </c>
      <c r="J90" s="3" t="n">
        <v>100</v>
      </c>
      <c r="K90" s="3" t="n">
        <v>2025</v>
      </c>
      <c r="L90" s="3" t="s">
        <v>39</v>
      </c>
      <c r="M90" s="4" t="n">
        <v>94923</v>
      </c>
      <c r="N90" s="5" t="s">
        <v>403</v>
      </c>
      <c r="O90" s="6" t="s">
        <v>26</v>
      </c>
      <c r="P90" s="3" t="s">
        <v>404</v>
      </c>
    </row>
    <row r="91" customFormat="false" ht="23.85" hidden="false" customHeight="false" outlineLevel="0" collapsed="false">
      <c r="A91" s="2" t="n">
        <v>90</v>
      </c>
      <c r="B91" s="3" t="s">
        <v>231</v>
      </c>
      <c r="C91" s="3" t="s">
        <v>405</v>
      </c>
      <c r="D91" s="2" t="s">
        <v>29</v>
      </c>
      <c r="E91" s="3" t="s">
        <v>49</v>
      </c>
      <c r="F91" s="3" t="s">
        <v>20</v>
      </c>
      <c r="G91" s="3" t="s">
        <v>406</v>
      </c>
      <c r="H91" s="3" t="s">
        <v>22</v>
      </c>
      <c r="I91" s="3" t="s">
        <v>23</v>
      </c>
      <c r="J91" s="3" t="n">
        <v>100</v>
      </c>
      <c r="K91" s="3" t="n">
        <v>2023</v>
      </c>
      <c r="L91" s="3" t="s">
        <v>51</v>
      </c>
      <c r="M91" s="4" t="n">
        <v>111117</v>
      </c>
      <c r="N91" s="5" t="s">
        <v>407</v>
      </c>
      <c r="O91" s="6" t="s">
        <v>26</v>
      </c>
      <c r="P91" s="3" t="s">
        <v>408</v>
      </c>
    </row>
    <row r="92" customFormat="false" ht="15" hidden="false" customHeight="false" outlineLevel="0" collapsed="false">
      <c r="A92" s="2" t="n">
        <v>91</v>
      </c>
      <c r="B92" s="3" t="s">
        <v>231</v>
      </c>
      <c r="C92" s="3" t="s">
        <v>409</v>
      </c>
      <c r="D92" s="2" t="s">
        <v>29</v>
      </c>
      <c r="E92" s="3" t="s">
        <v>37</v>
      </c>
      <c r="F92" s="3" t="s">
        <v>20</v>
      </c>
      <c r="G92" s="3" t="s">
        <v>410</v>
      </c>
      <c r="H92" s="3" t="s">
        <v>22</v>
      </c>
      <c r="I92" s="3" t="s">
        <v>23</v>
      </c>
      <c r="J92" s="3" t="n">
        <v>100</v>
      </c>
      <c r="K92" s="3" t="n">
        <v>2022</v>
      </c>
      <c r="L92" s="3" t="s">
        <v>51</v>
      </c>
      <c r="M92" s="4" t="n">
        <v>80900</v>
      </c>
      <c r="N92" s="5" t="s">
        <v>411</v>
      </c>
      <c r="O92" s="6" t="s">
        <v>26</v>
      </c>
      <c r="P92" s="3" t="s">
        <v>412</v>
      </c>
    </row>
    <row r="93" customFormat="false" ht="15" hidden="false" customHeight="false" outlineLevel="0" collapsed="false">
      <c r="A93" s="2" t="n">
        <v>92</v>
      </c>
      <c r="B93" s="3" t="s">
        <v>231</v>
      </c>
      <c r="C93" s="3" t="s">
        <v>413</v>
      </c>
      <c r="D93" s="2" t="s">
        <v>29</v>
      </c>
      <c r="E93" s="3" t="s">
        <v>37</v>
      </c>
      <c r="F93" s="3" t="s">
        <v>20</v>
      </c>
      <c r="G93" s="3" t="s">
        <v>414</v>
      </c>
      <c r="H93" s="3" t="s">
        <v>22</v>
      </c>
      <c r="I93" s="3" t="s">
        <v>23</v>
      </c>
      <c r="J93" s="3" t="n">
        <v>100</v>
      </c>
      <c r="K93" s="3" t="n">
        <v>2024</v>
      </c>
      <c r="L93" s="3" t="s">
        <v>51</v>
      </c>
      <c r="M93" s="4"/>
      <c r="N93" s="5" t="s">
        <v>66</v>
      </c>
      <c r="O93" s="6" t="s">
        <v>26</v>
      </c>
      <c r="P93" s="3"/>
    </row>
    <row r="94" customFormat="false" ht="15" hidden="false" customHeight="false" outlineLevel="0" collapsed="false">
      <c r="A94" s="2" t="n">
        <v>93</v>
      </c>
      <c r="B94" s="3" t="s">
        <v>231</v>
      </c>
      <c r="C94" s="3" t="s">
        <v>415</v>
      </c>
      <c r="D94" s="2" t="s">
        <v>29</v>
      </c>
      <c r="E94" s="3" t="s">
        <v>59</v>
      </c>
      <c r="F94" s="3" t="s">
        <v>20</v>
      </c>
      <c r="G94" s="3" t="s">
        <v>416</v>
      </c>
      <c r="H94" s="3" t="s">
        <v>22</v>
      </c>
      <c r="I94" s="3" t="s">
        <v>23</v>
      </c>
      <c r="J94" s="3" t="n">
        <v>100</v>
      </c>
      <c r="K94" s="3" t="n">
        <v>2025</v>
      </c>
      <c r="L94" s="3" t="s">
        <v>33</v>
      </c>
      <c r="M94" s="4" t="n">
        <v>47343</v>
      </c>
      <c r="N94" s="5" t="s">
        <v>417</v>
      </c>
      <c r="O94" s="6" t="s">
        <v>26</v>
      </c>
      <c r="P94" s="3" t="s">
        <v>418</v>
      </c>
    </row>
    <row r="95" customFormat="false" ht="15" hidden="false" customHeight="false" outlineLevel="0" collapsed="false">
      <c r="A95" s="2" t="n">
        <v>94</v>
      </c>
      <c r="B95" s="3" t="s">
        <v>231</v>
      </c>
      <c r="C95" s="3" t="s">
        <v>419</v>
      </c>
      <c r="D95" s="2" t="s">
        <v>29</v>
      </c>
      <c r="E95" s="3" t="s">
        <v>19</v>
      </c>
      <c r="F95" s="3" t="s">
        <v>20</v>
      </c>
      <c r="G95" s="3" t="s">
        <v>420</v>
      </c>
      <c r="H95" s="3" t="s">
        <v>22</v>
      </c>
      <c r="I95" s="3" t="s">
        <v>23</v>
      </c>
      <c r="J95" s="3" t="n">
        <v>100</v>
      </c>
      <c r="K95" s="3" t="n">
        <v>2024</v>
      </c>
      <c r="L95" s="3" t="s">
        <v>61</v>
      </c>
      <c r="M95" s="4" t="n">
        <v>102292</v>
      </c>
      <c r="N95" s="5" t="s">
        <v>398</v>
      </c>
      <c r="O95" s="6" t="s">
        <v>26</v>
      </c>
      <c r="P95" s="3" t="s">
        <v>421</v>
      </c>
    </row>
    <row r="96" customFormat="false" ht="23.85" hidden="false" customHeight="false" outlineLevel="0" collapsed="false">
      <c r="A96" s="2" t="n">
        <v>95</v>
      </c>
      <c r="B96" s="3" t="s">
        <v>231</v>
      </c>
      <c r="C96" s="3" t="s">
        <v>422</v>
      </c>
      <c r="D96" s="2" t="s">
        <v>29</v>
      </c>
      <c r="E96" s="3" t="s">
        <v>49</v>
      </c>
      <c r="F96" s="3" t="s">
        <v>93</v>
      </c>
      <c r="G96" s="3" t="s">
        <v>423</v>
      </c>
      <c r="H96" s="3" t="s">
        <v>22</v>
      </c>
      <c r="I96" s="3" t="s">
        <v>23</v>
      </c>
      <c r="J96" s="3" t="n">
        <v>100</v>
      </c>
      <c r="K96" s="3" t="n">
        <v>2016</v>
      </c>
      <c r="L96" s="3" t="s">
        <v>51</v>
      </c>
      <c r="M96" s="4" t="n">
        <v>44838</v>
      </c>
      <c r="N96" s="5" t="s">
        <v>424</v>
      </c>
      <c r="O96" s="6" t="s">
        <v>26</v>
      </c>
      <c r="P96" s="3" t="s">
        <v>425</v>
      </c>
    </row>
    <row r="97" customFormat="false" ht="35.05" hidden="false" customHeight="false" outlineLevel="0" collapsed="false">
      <c r="A97" s="2" t="n">
        <v>96</v>
      </c>
      <c r="B97" s="3" t="s">
        <v>231</v>
      </c>
      <c r="C97" s="3" t="s">
        <v>426</v>
      </c>
      <c r="D97" s="2" t="s">
        <v>29</v>
      </c>
      <c r="E97" s="3" t="s">
        <v>59</v>
      </c>
      <c r="F97" s="3" t="s">
        <v>93</v>
      </c>
      <c r="G97" s="3" t="s">
        <v>427</v>
      </c>
      <c r="H97" s="3" t="s">
        <v>428</v>
      </c>
      <c r="I97" s="3" t="s">
        <v>23</v>
      </c>
      <c r="J97" s="3" t="n">
        <v>90</v>
      </c>
      <c r="K97" s="3" t="n">
        <v>2022</v>
      </c>
      <c r="L97" s="3" t="s">
        <v>51</v>
      </c>
      <c r="M97" s="4" t="n">
        <v>36418</v>
      </c>
      <c r="N97" s="5" t="s">
        <v>429</v>
      </c>
      <c r="O97" s="6" t="s">
        <v>26</v>
      </c>
      <c r="P97" s="3" t="s">
        <v>430</v>
      </c>
    </row>
    <row r="98" customFormat="false" ht="23.85" hidden="false" customHeight="false" outlineLevel="0" collapsed="false">
      <c r="A98" s="2" t="n">
        <v>97</v>
      </c>
      <c r="B98" s="3" t="s">
        <v>231</v>
      </c>
      <c r="C98" s="3" t="s">
        <v>431</v>
      </c>
      <c r="D98" s="2" t="s">
        <v>29</v>
      </c>
      <c r="E98" s="3" t="s">
        <v>49</v>
      </c>
      <c r="F98" s="3" t="s">
        <v>93</v>
      </c>
      <c r="G98" s="3" t="s">
        <v>432</v>
      </c>
      <c r="H98" s="3" t="s">
        <v>22</v>
      </c>
      <c r="I98" s="3" t="s">
        <v>23</v>
      </c>
      <c r="J98" s="3" t="n">
        <v>100</v>
      </c>
      <c r="K98" s="3" t="n">
        <v>2025</v>
      </c>
      <c r="L98" s="3" t="s">
        <v>51</v>
      </c>
      <c r="M98" s="4" t="n">
        <v>37206</v>
      </c>
      <c r="N98" s="5" t="s">
        <v>433</v>
      </c>
      <c r="O98" s="6" t="s">
        <v>26</v>
      </c>
      <c r="P98" s="3" t="s">
        <v>434</v>
      </c>
    </row>
    <row r="99" customFormat="false" ht="23.85" hidden="false" customHeight="false" outlineLevel="0" collapsed="false">
      <c r="A99" s="2" t="n">
        <v>98</v>
      </c>
      <c r="B99" s="3" t="s">
        <v>231</v>
      </c>
      <c r="C99" s="3" t="s">
        <v>435</v>
      </c>
      <c r="D99" s="2" t="s">
        <v>29</v>
      </c>
      <c r="E99" s="3" t="s">
        <v>59</v>
      </c>
      <c r="F99" s="3" t="s">
        <v>20</v>
      </c>
      <c r="G99" s="3" t="s">
        <v>436</v>
      </c>
      <c r="H99" s="3" t="s">
        <v>22</v>
      </c>
      <c r="I99" s="3" t="s">
        <v>23</v>
      </c>
      <c r="J99" s="3" t="n">
        <v>100</v>
      </c>
      <c r="K99" s="3" t="n">
        <v>2024</v>
      </c>
      <c r="L99" s="3" t="s">
        <v>61</v>
      </c>
      <c r="M99" s="4" t="n">
        <v>62535</v>
      </c>
      <c r="N99" s="5" t="s">
        <v>437</v>
      </c>
      <c r="O99" s="6" t="s">
        <v>26</v>
      </c>
      <c r="P99" s="3" t="s">
        <v>438</v>
      </c>
    </row>
    <row r="100" customFormat="false" ht="23.85" hidden="false" customHeight="false" outlineLevel="0" collapsed="false">
      <c r="A100" s="2" t="n">
        <v>99</v>
      </c>
      <c r="B100" s="3" t="s">
        <v>231</v>
      </c>
      <c r="C100" s="3" t="s">
        <v>439</v>
      </c>
      <c r="D100" s="2" t="s">
        <v>29</v>
      </c>
      <c r="E100" s="3" t="s">
        <v>49</v>
      </c>
      <c r="F100" s="3" t="s">
        <v>20</v>
      </c>
      <c r="G100" s="3" t="s">
        <v>440</v>
      </c>
      <c r="H100" s="3" t="s">
        <v>22</v>
      </c>
      <c r="I100" s="3" t="s">
        <v>23</v>
      </c>
      <c r="J100" s="3" t="n">
        <v>100</v>
      </c>
      <c r="K100" s="3" t="n">
        <v>2024</v>
      </c>
      <c r="L100" s="3" t="s">
        <v>39</v>
      </c>
      <c r="M100" s="4" t="n">
        <v>81567</v>
      </c>
      <c r="N100" s="5" t="s">
        <v>441</v>
      </c>
      <c r="O100" s="6" t="s">
        <v>26</v>
      </c>
      <c r="P100" s="3" t="s">
        <v>442</v>
      </c>
    </row>
    <row r="101" customFormat="false" ht="15" hidden="false" customHeight="false" outlineLevel="0" collapsed="false">
      <c r="A101" s="2" t="n">
        <v>100</v>
      </c>
      <c r="B101" s="3" t="s">
        <v>231</v>
      </c>
      <c r="C101" s="3" t="s">
        <v>443</v>
      </c>
      <c r="D101" s="2" t="s">
        <v>29</v>
      </c>
      <c r="E101" s="3" t="s">
        <v>37</v>
      </c>
      <c r="F101" s="3" t="s">
        <v>20</v>
      </c>
      <c r="G101" s="3" t="s">
        <v>444</v>
      </c>
      <c r="H101" s="3" t="s">
        <v>22</v>
      </c>
      <c r="I101" s="3" t="s">
        <v>23</v>
      </c>
      <c r="J101" s="3" t="n">
        <v>100</v>
      </c>
      <c r="K101" s="3" t="n">
        <v>2024</v>
      </c>
      <c r="L101" s="3" t="s">
        <v>39</v>
      </c>
      <c r="M101" s="4" t="n">
        <v>64634</v>
      </c>
      <c r="N101" s="5" t="s">
        <v>445</v>
      </c>
      <c r="O101" s="6" t="s">
        <v>26</v>
      </c>
      <c r="P101" s="3" t="s">
        <v>446</v>
      </c>
    </row>
    <row r="102" customFormat="false" ht="23.85" hidden="false" customHeight="false" outlineLevel="0" collapsed="false">
      <c r="A102" s="2" t="n">
        <v>101</v>
      </c>
      <c r="B102" s="3" t="s">
        <v>231</v>
      </c>
      <c r="C102" s="3" t="s">
        <v>447</v>
      </c>
      <c r="D102" s="2" t="s">
        <v>29</v>
      </c>
      <c r="E102" s="3" t="s">
        <v>30</v>
      </c>
      <c r="F102" s="3" t="s">
        <v>31</v>
      </c>
      <c r="G102" s="3" t="s">
        <v>448</v>
      </c>
      <c r="H102" s="3" t="s">
        <v>22</v>
      </c>
      <c r="I102" s="3" t="s">
        <v>23</v>
      </c>
      <c r="J102" s="3" t="n">
        <v>100</v>
      </c>
      <c r="K102" s="3" t="n">
        <v>2025</v>
      </c>
      <c r="L102" s="3" t="s">
        <v>33</v>
      </c>
      <c r="M102" s="4" t="n">
        <v>66279</v>
      </c>
      <c r="N102" s="5" t="s">
        <v>449</v>
      </c>
      <c r="O102" s="6" t="s">
        <v>26</v>
      </c>
      <c r="P102" s="3" t="s">
        <v>450</v>
      </c>
    </row>
    <row r="103" customFormat="false" ht="15" hidden="false" customHeight="false" outlineLevel="0" collapsed="false">
      <c r="A103" s="2" t="n">
        <v>102</v>
      </c>
      <c r="B103" s="3" t="s">
        <v>231</v>
      </c>
      <c r="C103" s="3" t="s">
        <v>451</v>
      </c>
      <c r="D103" s="2" t="s">
        <v>29</v>
      </c>
      <c r="E103" s="3" t="s">
        <v>401</v>
      </c>
      <c r="F103" s="3" t="s">
        <v>20</v>
      </c>
      <c r="G103" s="3" t="s">
        <v>452</v>
      </c>
      <c r="H103" s="3" t="s">
        <v>22</v>
      </c>
      <c r="I103" s="3" t="s">
        <v>23</v>
      </c>
      <c r="J103" s="3" t="n">
        <v>100</v>
      </c>
      <c r="K103" s="3" t="n">
        <v>2023</v>
      </c>
      <c r="L103" s="3" t="s">
        <v>51</v>
      </c>
      <c r="M103" s="4" t="n">
        <v>61581</v>
      </c>
      <c r="N103" s="5" t="s">
        <v>453</v>
      </c>
      <c r="O103" s="6" t="s">
        <v>26</v>
      </c>
      <c r="P103" s="3" t="s">
        <v>454</v>
      </c>
    </row>
    <row r="104" customFormat="false" ht="15" hidden="false" customHeight="false" outlineLevel="0" collapsed="false">
      <c r="A104" s="2" t="n">
        <v>103</v>
      </c>
      <c r="B104" s="3" t="s">
        <v>231</v>
      </c>
      <c r="C104" s="3" t="s">
        <v>455</v>
      </c>
      <c r="D104" s="2" t="s">
        <v>29</v>
      </c>
      <c r="E104" s="3" t="s">
        <v>37</v>
      </c>
      <c r="F104" s="3" t="s">
        <v>31</v>
      </c>
      <c r="G104" s="3" t="s">
        <v>456</v>
      </c>
      <c r="H104" s="3" t="s">
        <v>22</v>
      </c>
      <c r="I104" s="3" t="s">
        <v>23</v>
      </c>
      <c r="J104" s="3" t="n">
        <v>100</v>
      </c>
      <c r="K104" s="3" t="n">
        <v>2024</v>
      </c>
      <c r="L104" s="3" t="s">
        <v>61</v>
      </c>
      <c r="M104" s="4" t="n">
        <v>58336</v>
      </c>
      <c r="N104" s="5" t="s">
        <v>457</v>
      </c>
      <c r="O104" s="6" t="s">
        <v>26</v>
      </c>
      <c r="P104" s="3" t="s">
        <v>458</v>
      </c>
    </row>
    <row r="105" customFormat="false" ht="15" hidden="false" customHeight="false" outlineLevel="0" collapsed="false">
      <c r="A105" s="2" t="n">
        <v>104</v>
      </c>
      <c r="B105" s="3" t="s">
        <v>231</v>
      </c>
      <c r="C105" s="3" t="s">
        <v>459</v>
      </c>
      <c r="D105" s="2" t="s">
        <v>29</v>
      </c>
      <c r="E105" s="3" t="s">
        <v>37</v>
      </c>
      <c r="F105" s="3" t="s">
        <v>31</v>
      </c>
      <c r="G105" s="3" t="s">
        <v>460</v>
      </c>
      <c r="H105" s="3" t="s">
        <v>44</v>
      </c>
      <c r="I105" s="3" t="s">
        <v>45</v>
      </c>
      <c r="J105" s="3" t="n">
        <v>100</v>
      </c>
      <c r="K105" s="3" t="s">
        <v>66</v>
      </c>
      <c r="L105" s="3" t="s">
        <v>66</v>
      </c>
      <c r="M105" s="4" t="n">
        <v>75200</v>
      </c>
      <c r="N105" s="5" t="s">
        <v>461</v>
      </c>
      <c r="O105" s="6" t="s">
        <v>26</v>
      </c>
      <c r="P105" s="3" t="s">
        <v>462</v>
      </c>
    </row>
    <row r="106" customFormat="false" ht="15" hidden="false" customHeight="false" outlineLevel="0" collapsed="false">
      <c r="A106" s="2" t="n">
        <v>105</v>
      </c>
      <c r="B106" s="3" t="s">
        <v>231</v>
      </c>
      <c r="C106" s="3" t="s">
        <v>463</v>
      </c>
      <c r="D106" s="2" t="s">
        <v>29</v>
      </c>
      <c r="E106" s="3" t="s">
        <v>37</v>
      </c>
      <c r="F106" s="3" t="s">
        <v>31</v>
      </c>
      <c r="G106" s="3" t="s">
        <v>464</v>
      </c>
      <c r="H106" s="3" t="s">
        <v>22</v>
      </c>
      <c r="I106" s="3" t="s">
        <v>23</v>
      </c>
      <c r="J106" s="3" t="n">
        <v>100</v>
      </c>
      <c r="K106" s="3" t="n">
        <v>2022</v>
      </c>
      <c r="L106" s="3" t="s">
        <v>61</v>
      </c>
      <c r="M106" s="4" t="n">
        <v>52636</v>
      </c>
      <c r="N106" s="5" t="s">
        <v>465</v>
      </c>
      <c r="O106" s="6" t="s">
        <v>26</v>
      </c>
      <c r="P106" s="3" t="s">
        <v>466</v>
      </c>
    </row>
    <row r="107" customFormat="false" ht="15" hidden="false" customHeight="false" outlineLevel="0" collapsed="false">
      <c r="A107" s="2" t="n">
        <v>106</v>
      </c>
      <c r="B107" s="3" t="s">
        <v>231</v>
      </c>
      <c r="C107" s="3" t="s">
        <v>467</v>
      </c>
      <c r="D107" s="2" t="s">
        <v>29</v>
      </c>
      <c r="E107" s="3" t="s">
        <v>37</v>
      </c>
      <c r="F107" s="3" t="s">
        <v>31</v>
      </c>
      <c r="G107" s="3" t="s">
        <v>468</v>
      </c>
      <c r="H107" s="3" t="s">
        <v>22</v>
      </c>
      <c r="I107" s="3" t="s">
        <v>23</v>
      </c>
      <c r="J107" s="3" t="n">
        <v>100</v>
      </c>
      <c r="K107" s="3" t="s">
        <v>66</v>
      </c>
      <c r="L107" s="3" t="s">
        <v>66</v>
      </c>
      <c r="M107" s="4" t="n">
        <v>71384</v>
      </c>
      <c r="N107" s="5" t="s">
        <v>469</v>
      </c>
      <c r="O107" s="6" t="s">
        <v>26</v>
      </c>
      <c r="P107" s="3" t="s">
        <v>470</v>
      </c>
    </row>
    <row r="108" customFormat="false" ht="15" hidden="false" customHeight="false" outlineLevel="0" collapsed="false">
      <c r="A108" s="2" t="n">
        <v>107</v>
      </c>
      <c r="B108" s="3" t="s">
        <v>231</v>
      </c>
      <c r="C108" s="3" t="s">
        <v>471</v>
      </c>
      <c r="D108" s="2" t="s">
        <v>29</v>
      </c>
      <c r="E108" s="3" t="s">
        <v>30</v>
      </c>
      <c r="F108" s="3" t="s">
        <v>31</v>
      </c>
      <c r="G108" s="3" t="s">
        <v>472</v>
      </c>
      <c r="H108" s="3" t="s">
        <v>22</v>
      </c>
      <c r="I108" s="3" t="s">
        <v>23</v>
      </c>
      <c r="J108" s="3" t="n">
        <v>100</v>
      </c>
      <c r="K108" s="3" t="n">
        <v>2023</v>
      </c>
      <c r="L108" s="3" t="s">
        <v>61</v>
      </c>
      <c r="M108" s="4" t="n">
        <v>52232</v>
      </c>
      <c r="N108" s="5" t="s">
        <v>473</v>
      </c>
      <c r="O108" s="6" t="s">
        <v>26</v>
      </c>
      <c r="P108" s="3" t="s">
        <v>474</v>
      </c>
    </row>
    <row r="109" customFormat="false" ht="35.05" hidden="false" customHeight="false" outlineLevel="0" collapsed="false">
      <c r="A109" s="2" t="n">
        <v>108</v>
      </c>
      <c r="B109" s="3" t="s">
        <v>475</v>
      </c>
      <c r="C109" s="3" t="s">
        <v>476</v>
      </c>
      <c r="D109" s="2" t="s">
        <v>18</v>
      </c>
      <c r="E109" s="3" t="s">
        <v>49</v>
      </c>
      <c r="F109" s="3" t="s">
        <v>20</v>
      </c>
      <c r="G109" s="3" t="s">
        <v>477</v>
      </c>
      <c r="H109" s="3" t="s">
        <v>22</v>
      </c>
      <c r="I109" s="3" t="s">
        <v>23</v>
      </c>
      <c r="J109" s="3" t="n">
        <v>100</v>
      </c>
      <c r="K109" s="3" t="n">
        <v>2022</v>
      </c>
      <c r="L109" s="3" t="s">
        <v>478</v>
      </c>
      <c r="M109" s="4" t="n">
        <v>45626</v>
      </c>
      <c r="N109" s="5" t="s">
        <v>479</v>
      </c>
      <c r="O109" s="6" t="s">
        <v>26</v>
      </c>
      <c r="P109" s="3" t="s">
        <v>480</v>
      </c>
    </row>
    <row r="110" customFormat="false" ht="15" hidden="false" customHeight="false" outlineLevel="0" collapsed="false">
      <c r="A110" s="2" t="n">
        <v>109</v>
      </c>
      <c r="B110" s="3" t="s">
        <v>475</v>
      </c>
      <c r="C110" s="3" t="s">
        <v>481</v>
      </c>
      <c r="D110" s="2" t="s">
        <v>29</v>
      </c>
      <c r="E110" s="3" t="s">
        <v>59</v>
      </c>
      <c r="F110" s="3" t="s">
        <v>20</v>
      </c>
      <c r="G110" s="3" t="s">
        <v>482</v>
      </c>
      <c r="H110" s="3" t="s">
        <v>22</v>
      </c>
      <c r="I110" s="3" t="s">
        <v>23</v>
      </c>
      <c r="J110" s="3" t="n">
        <v>100</v>
      </c>
      <c r="K110" s="3" t="n">
        <v>2021</v>
      </c>
      <c r="L110" s="3" t="s">
        <v>51</v>
      </c>
      <c r="M110" s="4"/>
      <c r="N110" s="5" t="s">
        <v>66</v>
      </c>
      <c r="O110" s="6" t="s">
        <v>26</v>
      </c>
      <c r="P110" s="3"/>
    </row>
    <row r="111" customFormat="false" ht="23.85" hidden="false" customHeight="false" outlineLevel="0" collapsed="false">
      <c r="A111" s="2" t="n">
        <v>110</v>
      </c>
      <c r="B111" s="3" t="s">
        <v>475</v>
      </c>
      <c r="C111" s="3" t="s">
        <v>483</v>
      </c>
      <c r="D111" s="2" t="s">
        <v>29</v>
      </c>
      <c r="E111" s="3" t="s">
        <v>30</v>
      </c>
      <c r="F111" s="3" t="s">
        <v>31</v>
      </c>
      <c r="G111" s="3" t="s">
        <v>484</v>
      </c>
      <c r="H111" s="3" t="s">
        <v>22</v>
      </c>
      <c r="I111" s="3" t="s">
        <v>23</v>
      </c>
      <c r="J111" s="3" t="n">
        <v>100</v>
      </c>
      <c r="K111" s="3" t="n">
        <v>2023</v>
      </c>
      <c r="L111" s="3" t="s">
        <v>61</v>
      </c>
      <c r="M111" s="4" t="n">
        <v>67710</v>
      </c>
      <c r="N111" s="5" t="s">
        <v>485</v>
      </c>
      <c r="O111" s="6" t="s">
        <v>26</v>
      </c>
      <c r="P111" s="3" t="s">
        <v>486</v>
      </c>
    </row>
    <row r="112" customFormat="false" ht="23.85" hidden="false" customHeight="false" outlineLevel="0" collapsed="false">
      <c r="A112" s="2" t="n">
        <v>111</v>
      </c>
      <c r="B112" s="3" t="s">
        <v>475</v>
      </c>
      <c r="C112" s="3" t="s">
        <v>487</v>
      </c>
      <c r="D112" s="2" t="s">
        <v>29</v>
      </c>
      <c r="E112" s="3" t="s">
        <v>83</v>
      </c>
      <c r="F112" s="3" t="s">
        <v>20</v>
      </c>
      <c r="G112" s="3" t="s">
        <v>290</v>
      </c>
      <c r="H112" s="3" t="s">
        <v>23</v>
      </c>
      <c r="I112" s="3" t="s">
        <v>23</v>
      </c>
      <c r="J112" s="3"/>
      <c r="K112" s="3" t="n">
        <v>2025</v>
      </c>
      <c r="L112" s="3" t="s">
        <v>61</v>
      </c>
      <c r="M112" s="4" t="n">
        <v>34344</v>
      </c>
      <c r="N112" s="5" t="s">
        <v>488</v>
      </c>
      <c r="O112" s="6" t="s">
        <v>26</v>
      </c>
      <c r="P112" s="3" t="s">
        <v>489</v>
      </c>
    </row>
    <row r="113" customFormat="false" ht="15" hidden="false" customHeight="false" outlineLevel="0" collapsed="false">
      <c r="A113" s="2" t="n">
        <v>112</v>
      </c>
      <c r="B113" s="3" t="s">
        <v>475</v>
      </c>
      <c r="C113" s="3" t="s">
        <v>490</v>
      </c>
      <c r="D113" s="2" t="s">
        <v>29</v>
      </c>
      <c r="E113" s="3" t="s">
        <v>30</v>
      </c>
      <c r="F113" s="3" t="s">
        <v>31</v>
      </c>
      <c r="G113" s="3" t="s">
        <v>491</v>
      </c>
      <c r="H113" s="3" t="s">
        <v>22</v>
      </c>
      <c r="I113" s="3" t="s">
        <v>23</v>
      </c>
      <c r="J113" s="3" t="n">
        <v>100</v>
      </c>
      <c r="K113" s="3" t="s">
        <v>66</v>
      </c>
      <c r="L113" s="3" t="s">
        <v>66</v>
      </c>
      <c r="M113" s="4"/>
      <c r="N113" s="5" t="s">
        <v>66</v>
      </c>
      <c r="O113" s="6" t="s">
        <v>26</v>
      </c>
      <c r="P113" s="3"/>
    </row>
    <row r="114" customFormat="false" ht="23.85" hidden="false" customHeight="false" outlineLevel="0" collapsed="false">
      <c r="A114" s="2" t="n">
        <v>113</v>
      </c>
      <c r="B114" s="3" t="s">
        <v>475</v>
      </c>
      <c r="C114" s="3" t="s">
        <v>492</v>
      </c>
      <c r="D114" s="2" t="s">
        <v>29</v>
      </c>
      <c r="E114" s="3" t="s">
        <v>37</v>
      </c>
      <c r="F114" s="3" t="s">
        <v>31</v>
      </c>
      <c r="G114" s="3" t="s">
        <v>493</v>
      </c>
      <c r="H114" s="3" t="s">
        <v>22</v>
      </c>
      <c r="I114" s="3" t="s">
        <v>23</v>
      </c>
      <c r="J114" s="3" t="n">
        <v>100</v>
      </c>
      <c r="K114" s="3" t="n">
        <v>2024</v>
      </c>
      <c r="L114" s="3" t="s">
        <v>51</v>
      </c>
      <c r="M114" s="4" t="n">
        <v>45934</v>
      </c>
      <c r="N114" s="5" t="s">
        <v>494</v>
      </c>
      <c r="O114" s="6" t="s">
        <v>26</v>
      </c>
      <c r="P114" s="3" t="s">
        <v>495</v>
      </c>
    </row>
    <row r="115" customFormat="false" ht="23.85" hidden="false" customHeight="false" outlineLevel="0" collapsed="false">
      <c r="A115" s="2" t="n">
        <v>114</v>
      </c>
      <c r="B115" s="3" t="s">
        <v>475</v>
      </c>
      <c r="C115" s="3" t="s">
        <v>496</v>
      </c>
      <c r="D115" s="2" t="s">
        <v>29</v>
      </c>
      <c r="E115" s="3" t="s">
        <v>37</v>
      </c>
      <c r="F115" s="3" t="s">
        <v>20</v>
      </c>
      <c r="G115" s="3" t="s">
        <v>497</v>
      </c>
      <c r="H115" s="3" t="s">
        <v>22</v>
      </c>
      <c r="I115" s="3" t="s">
        <v>23</v>
      </c>
      <c r="J115" s="3" t="n">
        <v>100</v>
      </c>
      <c r="K115" s="3" t="n">
        <v>2023</v>
      </c>
      <c r="L115" s="3" t="s">
        <v>51</v>
      </c>
      <c r="M115" s="4" t="n">
        <v>42094</v>
      </c>
      <c r="N115" s="5" t="s">
        <v>498</v>
      </c>
      <c r="O115" s="6" t="s">
        <v>26</v>
      </c>
      <c r="P115" s="3" t="s">
        <v>499</v>
      </c>
    </row>
    <row r="116" customFormat="false" ht="23.85" hidden="false" customHeight="false" outlineLevel="0" collapsed="false">
      <c r="A116" s="2" t="n">
        <v>115</v>
      </c>
      <c r="B116" s="3" t="s">
        <v>475</v>
      </c>
      <c r="C116" s="3" t="s">
        <v>500</v>
      </c>
      <c r="D116" s="2" t="s">
        <v>29</v>
      </c>
      <c r="E116" s="3" t="s">
        <v>83</v>
      </c>
      <c r="F116" s="3" t="s">
        <v>20</v>
      </c>
      <c r="G116" s="3" t="s">
        <v>501</v>
      </c>
      <c r="H116" s="3" t="s">
        <v>23</v>
      </c>
      <c r="I116" s="3" t="s">
        <v>23</v>
      </c>
      <c r="J116" s="3"/>
      <c r="K116" s="3" t="s">
        <v>66</v>
      </c>
      <c r="L116" s="3" t="s">
        <v>66</v>
      </c>
      <c r="M116" s="4" t="n">
        <v>43980</v>
      </c>
      <c r="N116" s="5" t="s">
        <v>337</v>
      </c>
      <c r="O116" s="6" t="s">
        <v>26</v>
      </c>
      <c r="P116" s="3" t="s">
        <v>502</v>
      </c>
    </row>
    <row r="117" customFormat="false" ht="23.85" hidden="false" customHeight="false" outlineLevel="0" collapsed="false">
      <c r="A117" s="2" t="n">
        <v>116</v>
      </c>
      <c r="B117" s="3" t="s">
        <v>475</v>
      </c>
      <c r="C117" s="3" t="s">
        <v>503</v>
      </c>
      <c r="D117" s="2" t="s">
        <v>29</v>
      </c>
      <c r="E117" s="3" t="s">
        <v>19</v>
      </c>
      <c r="F117" s="3" t="s">
        <v>20</v>
      </c>
      <c r="G117" s="3" t="s">
        <v>504</v>
      </c>
      <c r="H117" s="3" t="s">
        <v>22</v>
      </c>
      <c r="I117" s="3" t="s">
        <v>23</v>
      </c>
      <c r="J117" s="3" t="n">
        <v>100</v>
      </c>
      <c r="K117" s="3" t="n">
        <v>2023</v>
      </c>
      <c r="L117" s="3" t="s">
        <v>51</v>
      </c>
      <c r="M117" s="4" t="n">
        <v>57860</v>
      </c>
      <c r="N117" s="5" t="s">
        <v>505</v>
      </c>
      <c r="O117" s="6" t="s">
        <v>26</v>
      </c>
      <c r="P117" s="3" t="s">
        <v>506</v>
      </c>
    </row>
    <row r="118" customFormat="false" ht="23.85" hidden="false" customHeight="false" outlineLevel="0" collapsed="false">
      <c r="A118" s="2" t="n">
        <v>117</v>
      </c>
      <c r="B118" s="3" t="s">
        <v>475</v>
      </c>
      <c r="C118" s="3" t="s">
        <v>507</v>
      </c>
      <c r="D118" s="2" t="s">
        <v>29</v>
      </c>
      <c r="E118" s="3" t="s">
        <v>59</v>
      </c>
      <c r="F118" s="3" t="s">
        <v>20</v>
      </c>
      <c r="G118" s="3" t="s">
        <v>508</v>
      </c>
      <c r="H118" s="3" t="s">
        <v>22</v>
      </c>
      <c r="I118" s="3" t="s">
        <v>23</v>
      </c>
      <c r="J118" s="3" t="n">
        <v>100</v>
      </c>
      <c r="K118" s="3" t="n">
        <v>2023</v>
      </c>
      <c r="L118" s="3" t="s">
        <v>39</v>
      </c>
      <c r="M118" s="4" t="n">
        <v>58456</v>
      </c>
      <c r="N118" s="5" t="s">
        <v>509</v>
      </c>
      <c r="O118" s="6" t="s">
        <v>26</v>
      </c>
      <c r="P118" s="3" t="s">
        <v>510</v>
      </c>
    </row>
    <row r="119" customFormat="false" ht="15" hidden="false" customHeight="false" outlineLevel="0" collapsed="false">
      <c r="A119" s="2" t="n">
        <v>118</v>
      </c>
      <c r="B119" s="3" t="s">
        <v>475</v>
      </c>
      <c r="C119" s="3" t="s">
        <v>511</v>
      </c>
      <c r="D119" s="2" t="s">
        <v>29</v>
      </c>
      <c r="E119" s="3" t="s">
        <v>59</v>
      </c>
      <c r="F119" s="3" t="s">
        <v>20</v>
      </c>
      <c r="G119" s="3" t="s">
        <v>512</v>
      </c>
      <c r="H119" s="3" t="s">
        <v>22</v>
      </c>
      <c r="I119" s="3" t="s">
        <v>23</v>
      </c>
      <c r="J119" s="3" t="n">
        <v>100</v>
      </c>
      <c r="K119" s="3" t="s">
        <v>66</v>
      </c>
      <c r="L119" s="3" t="s">
        <v>33</v>
      </c>
      <c r="M119" s="4"/>
      <c r="N119" s="5" t="s">
        <v>66</v>
      </c>
      <c r="O119" s="6" t="s">
        <v>26</v>
      </c>
      <c r="P119" s="3"/>
    </row>
    <row r="120" customFormat="false" ht="23.85" hidden="false" customHeight="false" outlineLevel="0" collapsed="false">
      <c r="A120" s="2" t="n">
        <v>119</v>
      </c>
      <c r="B120" s="3" t="s">
        <v>475</v>
      </c>
      <c r="C120" s="3" t="s">
        <v>513</v>
      </c>
      <c r="D120" s="2" t="s">
        <v>29</v>
      </c>
      <c r="E120" s="3" t="s">
        <v>49</v>
      </c>
      <c r="F120" s="3" t="s">
        <v>20</v>
      </c>
      <c r="G120" s="3" t="s">
        <v>514</v>
      </c>
      <c r="H120" s="3" t="s">
        <v>22</v>
      </c>
      <c r="I120" s="3" t="s">
        <v>23</v>
      </c>
      <c r="J120" s="3" t="n">
        <v>100</v>
      </c>
      <c r="K120" s="3" t="n">
        <v>2021</v>
      </c>
      <c r="L120" s="3" t="s">
        <v>61</v>
      </c>
      <c r="M120" s="4" t="n">
        <v>38565</v>
      </c>
      <c r="N120" s="5" t="s">
        <v>515</v>
      </c>
      <c r="O120" s="6" t="s">
        <v>26</v>
      </c>
      <c r="P120" s="3" t="s">
        <v>516</v>
      </c>
    </row>
    <row r="121" customFormat="false" ht="23.85" hidden="false" customHeight="false" outlineLevel="0" collapsed="false">
      <c r="A121" s="2" t="n">
        <v>120</v>
      </c>
      <c r="B121" s="3" t="s">
        <v>475</v>
      </c>
      <c r="C121" s="3" t="s">
        <v>517</v>
      </c>
      <c r="D121" s="2" t="s">
        <v>29</v>
      </c>
      <c r="E121" s="3" t="s">
        <v>83</v>
      </c>
      <c r="F121" s="3" t="s">
        <v>31</v>
      </c>
      <c r="G121" s="3" t="s">
        <v>518</v>
      </c>
      <c r="H121" s="3" t="s">
        <v>22</v>
      </c>
      <c r="I121" s="3" t="s">
        <v>23</v>
      </c>
      <c r="J121" s="3" t="n">
        <v>100</v>
      </c>
      <c r="K121" s="3" t="n">
        <v>2024</v>
      </c>
      <c r="L121" s="3" t="s">
        <v>51</v>
      </c>
      <c r="M121" s="4" t="n">
        <v>48081</v>
      </c>
      <c r="N121" s="5" t="s">
        <v>519</v>
      </c>
      <c r="O121" s="6" t="s">
        <v>26</v>
      </c>
      <c r="P121" s="3" t="s">
        <v>520</v>
      </c>
    </row>
    <row r="122" customFormat="false" ht="23.85" hidden="false" customHeight="false" outlineLevel="0" collapsed="false">
      <c r="A122" s="2" t="n">
        <v>121</v>
      </c>
      <c r="B122" s="3" t="s">
        <v>475</v>
      </c>
      <c r="C122" s="3" t="s">
        <v>521</v>
      </c>
      <c r="D122" s="2" t="s">
        <v>29</v>
      </c>
      <c r="E122" s="3" t="s">
        <v>30</v>
      </c>
      <c r="F122" s="3" t="s">
        <v>20</v>
      </c>
      <c r="G122" s="3" t="s">
        <v>522</v>
      </c>
      <c r="H122" s="3" t="s">
        <v>22</v>
      </c>
      <c r="I122" s="3" t="s">
        <v>23</v>
      </c>
      <c r="J122" s="3" t="n">
        <v>100</v>
      </c>
      <c r="K122" s="3" t="n">
        <v>2022</v>
      </c>
      <c r="L122" s="3" t="s">
        <v>51</v>
      </c>
      <c r="M122" s="4" t="n">
        <v>67472</v>
      </c>
      <c r="N122" s="5" t="s">
        <v>523</v>
      </c>
      <c r="O122" s="6" t="s">
        <v>26</v>
      </c>
      <c r="P122" s="3" t="s">
        <v>524</v>
      </c>
    </row>
    <row r="123" customFormat="false" ht="23.85" hidden="false" customHeight="false" outlineLevel="0" collapsed="false">
      <c r="A123" s="2" t="n">
        <v>122</v>
      </c>
      <c r="B123" s="3" t="s">
        <v>475</v>
      </c>
      <c r="C123" s="3" t="s">
        <v>525</v>
      </c>
      <c r="D123" s="2" t="s">
        <v>29</v>
      </c>
      <c r="E123" s="3" t="s">
        <v>83</v>
      </c>
      <c r="F123" s="3" t="s">
        <v>31</v>
      </c>
      <c r="G123" s="3" t="s">
        <v>290</v>
      </c>
      <c r="H123" s="3" t="s">
        <v>23</v>
      </c>
      <c r="I123" s="3" t="s">
        <v>23</v>
      </c>
      <c r="J123" s="3"/>
      <c r="K123" s="3" t="s">
        <v>66</v>
      </c>
      <c r="L123" s="3" t="s">
        <v>66</v>
      </c>
      <c r="M123" s="4" t="n">
        <v>80446</v>
      </c>
      <c r="N123" s="5" t="s">
        <v>526</v>
      </c>
      <c r="O123" s="6" t="s">
        <v>26</v>
      </c>
      <c r="P123" s="3" t="s">
        <v>527</v>
      </c>
    </row>
    <row r="124" customFormat="false" ht="23.85" hidden="false" customHeight="false" outlineLevel="0" collapsed="false">
      <c r="A124" s="2" t="n">
        <v>123</v>
      </c>
      <c r="B124" s="3" t="s">
        <v>475</v>
      </c>
      <c r="C124" s="3" t="s">
        <v>528</v>
      </c>
      <c r="D124" s="2" t="s">
        <v>29</v>
      </c>
      <c r="E124" s="3" t="s">
        <v>37</v>
      </c>
      <c r="F124" s="3" t="s">
        <v>20</v>
      </c>
      <c r="G124" s="3" t="s">
        <v>529</v>
      </c>
      <c r="H124" s="3" t="s">
        <v>22</v>
      </c>
      <c r="I124" s="3" t="s">
        <v>23</v>
      </c>
      <c r="J124" s="3" t="n">
        <v>100</v>
      </c>
      <c r="K124" s="3" t="n">
        <v>2022</v>
      </c>
      <c r="L124" s="3" t="s">
        <v>33</v>
      </c>
      <c r="M124" s="4" t="n">
        <v>49560</v>
      </c>
      <c r="N124" s="5" t="s">
        <v>530</v>
      </c>
      <c r="O124" s="6" t="s">
        <v>26</v>
      </c>
      <c r="P124" s="3" t="s">
        <v>531</v>
      </c>
    </row>
    <row r="125" customFormat="false" ht="23.85" hidden="false" customHeight="false" outlineLevel="0" collapsed="false">
      <c r="A125" s="2" t="n">
        <v>124</v>
      </c>
      <c r="B125" s="3" t="s">
        <v>475</v>
      </c>
      <c r="C125" s="3" t="s">
        <v>532</v>
      </c>
      <c r="D125" s="2" t="s">
        <v>29</v>
      </c>
      <c r="E125" s="3" t="s">
        <v>30</v>
      </c>
      <c r="F125" s="3" t="s">
        <v>31</v>
      </c>
      <c r="G125" s="3" t="s">
        <v>533</v>
      </c>
      <c r="H125" s="3" t="s">
        <v>23</v>
      </c>
      <c r="I125" s="3" t="s">
        <v>23</v>
      </c>
      <c r="J125" s="3"/>
      <c r="K125" s="3" t="n">
        <v>2022</v>
      </c>
      <c r="L125" s="3" t="s">
        <v>33</v>
      </c>
      <c r="M125" s="4" t="n">
        <v>59888</v>
      </c>
      <c r="N125" s="5" t="s">
        <v>534</v>
      </c>
      <c r="O125" s="6" t="s">
        <v>26</v>
      </c>
      <c r="P125" s="3" t="s">
        <v>535</v>
      </c>
    </row>
    <row r="126" customFormat="false" ht="23.85" hidden="false" customHeight="false" outlineLevel="0" collapsed="false">
      <c r="A126" s="2" t="n">
        <v>125</v>
      </c>
      <c r="B126" s="3" t="s">
        <v>475</v>
      </c>
      <c r="C126" s="3" t="s">
        <v>536</v>
      </c>
      <c r="D126" s="2" t="s">
        <v>29</v>
      </c>
      <c r="E126" s="3" t="s">
        <v>19</v>
      </c>
      <c r="F126" s="3" t="s">
        <v>20</v>
      </c>
      <c r="G126" s="3" t="s">
        <v>537</v>
      </c>
      <c r="H126" s="3" t="s">
        <v>22</v>
      </c>
      <c r="I126" s="3" t="s">
        <v>23</v>
      </c>
      <c r="J126" s="3" t="n">
        <v>100</v>
      </c>
      <c r="K126" s="3" t="n">
        <v>2022</v>
      </c>
      <c r="L126" s="3" t="s">
        <v>51</v>
      </c>
      <c r="M126" s="4" t="n">
        <v>58623</v>
      </c>
      <c r="N126" s="5" t="s">
        <v>538</v>
      </c>
      <c r="O126" s="6" t="s">
        <v>26</v>
      </c>
      <c r="P126" s="3" t="s">
        <v>539</v>
      </c>
    </row>
    <row r="127" customFormat="false" ht="23.85" hidden="false" customHeight="false" outlineLevel="0" collapsed="false">
      <c r="A127" s="2" t="n">
        <v>126</v>
      </c>
      <c r="B127" s="3" t="s">
        <v>475</v>
      </c>
      <c r="C127" s="3" t="s">
        <v>540</v>
      </c>
      <c r="D127" s="2" t="s">
        <v>29</v>
      </c>
      <c r="E127" s="3" t="s">
        <v>59</v>
      </c>
      <c r="F127" s="3" t="s">
        <v>20</v>
      </c>
      <c r="G127" s="3" t="s">
        <v>541</v>
      </c>
      <c r="H127" s="3" t="s">
        <v>542</v>
      </c>
      <c r="I127" s="3" t="s">
        <v>45</v>
      </c>
      <c r="J127" s="3" t="n">
        <v>60</v>
      </c>
      <c r="K127" s="3" t="n">
        <v>2022</v>
      </c>
      <c r="L127" s="3" t="s">
        <v>33</v>
      </c>
      <c r="M127" s="4" t="n">
        <v>55190</v>
      </c>
      <c r="N127" s="5" t="s">
        <v>543</v>
      </c>
      <c r="O127" s="6" t="s">
        <v>26</v>
      </c>
      <c r="P127" s="3" t="s">
        <v>544</v>
      </c>
    </row>
    <row r="128" customFormat="false" ht="23.85" hidden="false" customHeight="false" outlineLevel="0" collapsed="false">
      <c r="A128" s="2" t="n">
        <v>127</v>
      </c>
      <c r="B128" s="3" t="s">
        <v>475</v>
      </c>
      <c r="C128" s="3" t="s">
        <v>545</v>
      </c>
      <c r="D128" s="2" t="s">
        <v>29</v>
      </c>
      <c r="E128" s="3" t="s">
        <v>59</v>
      </c>
      <c r="F128" s="3" t="s">
        <v>93</v>
      </c>
      <c r="G128" s="3" t="s">
        <v>546</v>
      </c>
      <c r="H128" s="3" t="s">
        <v>22</v>
      </c>
      <c r="I128" s="3" t="s">
        <v>23</v>
      </c>
      <c r="J128" s="3" t="n">
        <v>100</v>
      </c>
      <c r="K128" s="3" t="n">
        <v>2022</v>
      </c>
      <c r="L128" s="3" t="s">
        <v>61</v>
      </c>
      <c r="M128" s="4" t="n">
        <v>60150</v>
      </c>
      <c r="N128" s="5" t="s">
        <v>547</v>
      </c>
      <c r="O128" s="6" t="s">
        <v>26</v>
      </c>
      <c r="P128" s="3" t="s">
        <v>548</v>
      </c>
    </row>
    <row r="129" customFormat="false" ht="23.85" hidden="false" customHeight="false" outlineLevel="0" collapsed="false">
      <c r="A129" s="2" t="n">
        <v>128</v>
      </c>
      <c r="B129" s="3" t="s">
        <v>475</v>
      </c>
      <c r="C129" s="3" t="s">
        <v>549</v>
      </c>
      <c r="D129" s="2" t="s">
        <v>29</v>
      </c>
      <c r="E129" s="3" t="s">
        <v>37</v>
      </c>
      <c r="F129" s="3" t="s">
        <v>93</v>
      </c>
      <c r="G129" s="3" t="s">
        <v>550</v>
      </c>
      <c r="H129" s="3" t="s">
        <v>22</v>
      </c>
      <c r="I129" s="3" t="s">
        <v>23</v>
      </c>
      <c r="J129" s="3" t="n">
        <v>100</v>
      </c>
      <c r="K129" s="3" t="n">
        <v>2023</v>
      </c>
      <c r="L129" s="3" t="s">
        <v>33</v>
      </c>
      <c r="M129" s="4" t="n">
        <v>49059</v>
      </c>
      <c r="N129" s="5" t="s">
        <v>551</v>
      </c>
      <c r="O129" s="6" t="s">
        <v>26</v>
      </c>
      <c r="P129" s="3" t="s">
        <v>552</v>
      </c>
    </row>
    <row r="130" customFormat="false" ht="23.85" hidden="false" customHeight="false" outlineLevel="0" collapsed="false">
      <c r="A130" s="2" t="n">
        <v>129</v>
      </c>
      <c r="B130" s="3" t="s">
        <v>475</v>
      </c>
      <c r="C130" s="3" t="s">
        <v>553</v>
      </c>
      <c r="D130" s="2" t="s">
        <v>29</v>
      </c>
      <c r="E130" s="3" t="s">
        <v>37</v>
      </c>
      <c r="F130" s="3" t="s">
        <v>93</v>
      </c>
      <c r="G130" s="3" t="s">
        <v>554</v>
      </c>
      <c r="H130" s="3" t="s">
        <v>555</v>
      </c>
      <c r="I130" s="3" t="s">
        <v>110</v>
      </c>
      <c r="J130" s="3" t="n">
        <v>100</v>
      </c>
      <c r="K130" s="3" t="n">
        <v>2022</v>
      </c>
      <c r="L130" s="3" t="s">
        <v>61</v>
      </c>
      <c r="M130" s="4" t="n">
        <v>48249</v>
      </c>
      <c r="N130" s="5" t="s">
        <v>556</v>
      </c>
      <c r="O130" s="6" t="s">
        <v>26</v>
      </c>
      <c r="P130" s="3" t="s">
        <v>557</v>
      </c>
    </row>
    <row r="131" customFormat="false" ht="23.85" hidden="false" customHeight="false" outlineLevel="0" collapsed="false">
      <c r="A131" s="2" t="n">
        <v>130</v>
      </c>
      <c r="B131" s="3" t="s">
        <v>475</v>
      </c>
      <c r="C131" s="3" t="s">
        <v>558</v>
      </c>
      <c r="D131" s="2" t="s">
        <v>29</v>
      </c>
      <c r="E131" s="3" t="s">
        <v>83</v>
      </c>
      <c r="F131" s="3" t="s">
        <v>20</v>
      </c>
      <c r="G131" s="3" t="s">
        <v>559</v>
      </c>
      <c r="H131" s="3" t="s">
        <v>23</v>
      </c>
      <c r="I131" s="3" t="s">
        <v>23</v>
      </c>
      <c r="J131" s="3"/>
      <c r="K131" s="3" t="s">
        <v>66</v>
      </c>
      <c r="L131" s="3" t="s">
        <v>51</v>
      </c>
      <c r="M131" s="4" t="n">
        <v>38541</v>
      </c>
      <c r="N131" s="5" t="s">
        <v>560</v>
      </c>
      <c r="O131" s="6" t="s">
        <v>26</v>
      </c>
      <c r="P131" s="3" t="s">
        <v>561</v>
      </c>
    </row>
    <row r="132" customFormat="false" ht="23.85" hidden="false" customHeight="false" outlineLevel="0" collapsed="false">
      <c r="A132" s="2" t="n">
        <v>131</v>
      </c>
      <c r="B132" s="3" t="s">
        <v>475</v>
      </c>
      <c r="C132" s="3" t="s">
        <v>562</v>
      </c>
      <c r="D132" s="2" t="s">
        <v>29</v>
      </c>
      <c r="E132" s="3" t="s">
        <v>83</v>
      </c>
      <c r="F132" s="3" t="s">
        <v>20</v>
      </c>
      <c r="G132" s="3" t="s">
        <v>290</v>
      </c>
      <c r="H132" s="3" t="s">
        <v>23</v>
      </c>
      <c r="I132" s="3" t="s">
        <v>23</v>
      </c>
      <c r="J132" s="3"/>
      <c r="K132" s="3" t="s">
        <v>66</v>
      </c>
      <c r="L132" s="3" t="s">
        <v>51</v>
      </c>
      <c r="M132" s="4" t="n">
        <v>49227</v>
      </c>
      <c r="N132" s="5" t="s">
        <v>563</v>
      </c>
      <c r="O132" s="6" t="s">
        <v>26</v>
      </c>
      <c r="P132" s="3" t="s">
        <v>564</v>
      </c>
    </row>
    <row r="133" customFormat="false" ht="23.85" hidden="false" customHeight="false" outlineLevel="0" collapsed="false">
      <c r="A133" s="2" t="n">
        <v>132</v>
      </c>
      <c r="B133" s="3" t="s">
        <v>565</v>
      </c>
      <c r="C133" s="3" t="s">
        <v>566</v>
      </c>
      <c r="D133" s="2" t="s">
        <v>18</v>
      </c>
      <c r="E133" s="3" t="s">
        <v>83</v>
      </c>
      <c r="F133" s="3" t="s">
        <v>20</v>
      </c>
      <c r="G133" s="3" t="s">
        <v>567</v>
      </c>
      <c r="H133" s="3" t="s">
        <v>568</v>
      </c>
      <c r="I133" s="3" t="s">
        <v>569</v>
      </c>
      <c r="J133" s="3" t="n">
        <v>200</v>
      </c>
      <c r="K133" s="3"/>
      <c r="L133" s="3"/>
      <c r="M133" s="4" t="n">
        <v>15861</v>
      </c>
      <c r="N133" s="5" t="s">
        <v>570</v>
      </c>
      <c r="O133" s="6" t="s">
        <v>26</v>
      </c>
      <c r="P133" s="3"/>
    </row>
    <row r="134" customFormat="false" ht="23.85" hidden="false" customHeight="false" outlineLevel="0" collapsed="false">
      <c r="A134" s="2" t="n">
        <v>133</v>
      </c>
      <c r="B134" s="3" t="s">
        <v>565</v>
      </c>
      <c r="C134" s="3" t="s">
        <v>571</v>
      </c>
      <c r="D134" s="2" t="s">
        <v>29</v>
      </c>
      <c r="E134" s="3" t="s">
        <v>83</v>
      </c>
      <c r="F134" s="3" t="s">
        <v>20</v>
      </c>
      <c r="G134" s="3" t="s">
        <v>572</v>
      </c>
      <c r="H134" s="3" t="s">
        <v>573</v>
      </c>
      <c r="I134" s="3" t="s">
        <v>573</v>
      </c>
      <c r="J134" s="3"/>
      <c r="K134" s="3"/>
      <c r="L134" s="3"/>
      <c r="M134" s="4" t="n">
        <v>26926</v>
      </c>
      <c r="N134" s="5" t="s">
        <v>574</v>
      </c>
      <c r="O134" s="6" t="s">
        <v>26</v>
      </c>
      <c r="P134" s="3" t="s">
        <v>575</v>
      </c>
    </row>
    <row r="135" customFormat="false" ht="15" hidden="false" customHeight="false" outlineLevel="0" collapsed="false">
      <c r="A135" s="2" t="n">
        <v>134</v>
      </c>
      <c r="B135" s="3" t="s">
        <v>576</v>
      </c>
      <c r="C135" s="3" t="s">
        <v>577</v>
      </c>
      <c r="D135" s="2" t="s">
        <v>18</v>
      </c>
      <c r="E135" s="3" t="s">
        <v>59</v>
      </c>
      <c r="F135" s="3" t="s">
        <v>20</v>
      </c>
      <c r="G135" s="3" t="s">
        <v>578</v>
      </c>
      <c r="H135" s="3" t="s">
        <v>22</v>
      </c>
      <c r="I135" s="3" t="s">
        <v>23</v>
      </c>
      <c r="J135" s="3" t="n">
        <v>100</v>
      </c>
      <c r="K135" s="3" t="n">
        <v>2024</v>
      </c>
      <c r="L135" s="3" t="s">
        <v>579</v>
      </c>
      <c r="M135" s="4" t="n">
        <v>86790</v>
      </c>
      <c r="N135" s="5" t="s">
        <v>580</v>
      </c>
      <c r="O135" s="6" t="s">
        <v>26</v>
      </c>
      <c r="P135" s="3" t="s">
        <v>581</v>
      </c>
    </row>
    <row r="136" customFormat="false" ht="23.85" hidden="false" customHeight="false" outlineLevel="0" collapsed="false">
      <c r="A136" s="2" t="n">
        <v>135</v>
      </c>
      <c r="B136" s="3" t="s">
        <v>576</v>
      </c>
      <c r="C136" s="3" t="s">
        <v>582</v>
      </c>
      <c r="D136" s="2" t="s">
        <v>29</v>
      </c>
      <c r="E136" s="3" t="s">
        <v>49</v>
      </c>
      <c r="F136" s="3" t="s">
        <v>20</v>
      </c>
      <c r="G136" s="3" t="s">
        <v>583</v>
      </c>
      <c r="H136" s="3" t="s">
        <v>22</v>
      </c>
      <c r="I136" s="3" t="s">
        <v>23</v>
      </c>
      <c r="J136" s="3" t="n">
        <v>100</v>
      </c>
      <c r="K136" s="3" t="n">
        <v>2015</v>
      </c>
      <c r="L136" s="3" t="s">
        <v>51</v>
      </c>
      <c r="M136" s="4" t="n">
        <v>66994</v>
      </c>
      <c r="N136" s="5" t="s">
        <v>584</v>
      </c>
      <c r="O136" s="6" t="s">
        <v>26</v>
      </c>
      <c r="P136" s="3" t="s">
        <v>585</v>
      </c>
    </row>
    <row r="137" customFormat="false" ht="23.85" hidden="false" customHeight="false" outlineLevel="0" collapsed="false">
      <c r="A137" s="2" t="n">
        <v>136</v>
      </c>
      <c r="B137" s="3" t="s">
        <v>576</v>
      </c>
      <c r="C137" s="3" t="s">
        <v>586</v>
      </c>
      <c r="D137" s="2" t="s">
        <v>29</v>
      </c>
      <c r="E137" s="3" t="s">
        <v>59</v>
      </c>
      <c r="F137" s="3" t="s">
        <v>31</v>
      </c>
      <c r="G137" s="3" t="s">
        <v>587</v>
      </c>
      <c r="H137" s="3" t="s">
        <v>22</v>
      </c>
      <c r="I137" s="3" t="s">
        <v>23</v>
      </c>
      <c r="J137" s="3" t="n">
        <v>100</v>
      </c>
      <c r="K137" s="3" t="s">
        <v>66</v>
      </c>
      <c r="L137" s="3" t="s">
        <v>66</v>
      </c>
      <c r="M137" s="4" t="n">
        <v>98954</v>
      </c>
      <c r="N137" s="5" t="s">
        <v>588</v>
      </c>
      <c r="O137" s="6" t="s">
        <v>26</v>
      </c>
      <c r="P137" s="3" t="s">
        <v>589</v>
      </c>
    </row>
    <row r="138" customFormat="false" ht="15" hidden="false" customHeight="false" outlineLevel="0" collapsed="false">
      <c r="A138" s="2" t="n">
        <v>137</v>
      </c>
      <c r="B138" s="3" t="s">
        <v>576</v>
      </c>
      <c r="C138" s="3" t="s">
        <v>590</v>
      </c>
      <c r="D138" s="2" t="s">
        <v>29</v>
      </c>
      <c r="E138" s="3" t="s">
        <v>49</v>
      </c>
      <c r="F138" s="3" t="s">
        <v>20</v>
      </c>
      <c r="G138" s="3" t="s">
        <v>591</v>
      </c>
      <c r="H138" s="3" t="s">
        <v>22</v>
      </c>
      <c r="I138" s="3" t="s">
        <v>23</v>
      </c>
      <c r="J138" s="3" t="n">
        <v>100</v>
      </c>
      <c r="K138" s="3" t="n">
        <v>2025</v>
      </c>
      <c r="L138" s="3" t="s">
        <v>51</v>
      </c>
      <c r="M138" s="4" t="n">
        <v>93111</v>
      </c>
      <c r="N138" s="5" t="s">
        <v>592</v>
      </c>
      <c r="O138" s="6" t="s">
        <v>26</v>
      </c>
      <c r="P138" s="3" t="s">
        <v>593</v>
      </c>
    </row>
    <row r="139" customFormat="false" ht="15" hidden="false" customHeight="false" outlineLevel="0" collapsed="false">
      <c r="A139" s="2" t="n">
        <v>138</v>
      </c>
      <c r="B139" s="3" t="s">
        <v>576</v>
      </c>
      <c r="C139" s="3" t="s">
        <v>594</v>
      </c>
      <c r="D139" s="2" t="s">
        <v>29</v>
      </c>
      <c r="E139" s="3" t="s">
        <v>49</v>
      </c>
      <c r="F139" s="3" t="s">
        <v>20</v>
      </c>
      <c r="G139" s="3" t="s">
        <v>595</v>
      </c>
      <c r="H139" s="3" t="s">
        <v>22</v>
      </c>
      <c r="I139" s="3" t="s">
        <v>23</v>
      </c>
      <c r="J139" s="3" t="n">
        <v>100</v>
      </c>
      <c r="K139" s="3" t="n">
        <v>2023</v>
      </c>
      <c r="L139" s="3" t="s">
        <v>51</v>
      </c>
      <c r="M139" s="4" t="n">
        <v>102936</v>
      </c>
      <c r="N139" s="5" t="s">
        <v>596</v>
      </c>
      <c r="O139" s="6" t="s">
        <v>26</v>
      </c>
      <c r="P139" s="3" t="s">
        <v>597</v>
      </c>
    </row>
    <row r="140" customFormat="false" ht="15" hidden="false" customHeight="false" outlineLevel="0" collapsed="false">
      <c r="A140" s="2" t="n">
        <v>139</v>
      </c>
      <c r="B140" s="3" t="s">
        <v>576</v>
      </c>
      <c r="C140" s="3" t="s">
        <v>598</v>
      </c>
      <c r="D140" s="2" t="s">
        <v>29</v>
      </c>
      <c r="E140" s="3" t="s">
        <v>59</v>
      </c>
      <c r="F140" s="3" t="s">
        <v>20</v>
      </c>
      <c r="G140" s="3" t="s">
        <v>599</v>
      </c>
      <c r="H140" s="3" t="s">
        <v>22</v>
      </c>
      <c r="I140" s="3" t="s">
        <v>23</v>
      </c>
      <c r="J140" s="3" t="n">
        <v>100</v>
      </c>
      <c r="K140" s="3" t="n">
        <v>2025</v>
      </c>
      <c r="L140" s="3" t="s">
        <v>33</v>
      </c>
      <c r="M140" s="4" t="n">
        <v>100336</v>
      </c>
      <c r="N140" s="5" t="s">
        <v>600</v>
      </c>
      <c r="O140" s="6" t="s">
        <v>26</v>
      </c>
      <c r="P140" s="3" t="s">
        <v>601</v>
      </c>
    </row>
    <row r="141" customFormat="false" ht="23.85" hidden="false" customHeight="false" outlineLevel="0" collapsed="false">
      <c r="A141" s="2" t="n">
        <v>140</v>
      </c>
      <c r="B141" s="3" t="s">
        <v>576</v>
      </c>
      <c r="C141" s="3" t="s">
        <v>602</v>
      </c>
      <c r="D141" s="2" t="s">
        <v>29</v>
      </c>
      <c r="E141" s="3" t="s">
        <v>143</v>
      </c>
      <c r="F141" s="3" t="s">
        <v>20</v>
      </c>
      <c r="G141" s="3" t="s">
        <v>603</v>
      </c>
      <c r="H141" s="3" t="s">
        <v>22</v>
      </c>
      <c r="I141" s="3" t="s">
        <v>23</v>
      </c>
      <c r="J141" s="3" t="n">
        <v>100</v>
      </c>
      <c r="K141" s="3" t="n">
        <v>2025</v>
      </c>
      <c r="L141" s="3" t="s">
        <v>61</v>
      </c>
      <c r="M141" s="4" t="n">
        <v>94304</v>
      </c>
      <c r="N141" s="5" t="s">
        <v>154</v>
      </c>
      <c r="O141" s="6" t="s">
        <v>26</v>
      </c>
      <c r="P141" s="3" t="s">
        <v>604</v>
      </c>
    </row>
    <row r="142" customFormat="false" ht="23.85" hidden="false" customHeight="false" outlineLevel="0" collapsed="false">
      <c r="A142" s="2" t="n">
        <v>141</v>
      </c>
      <c r="B142" s="3" t="s">
        <v>576</v>
      </c>
      <c r="C142" s="3" t="s">
        <v>605</v>
      </c>
      <c r="D142" s="2" t="s">
        <v>29</v>
      </c>
      <c r="E142" s="3" t="s">
        <v>49</v>
      </c>
      <c r="F142" s="3" t="s">
        <v>20</v>
      </c>
      <c r="G142" s="3" t="s">
        <v>606</v>
      </c>
      <c r="H142" s="3" t="s">
        <v>22</v>
      </c>
      <c r="I142" s="3" t="s">
        <v>23</v>
      </c>
      <c r="J142" s="3" t="n">
        <v>100</v>
      </c>
      <c r="K142" s="3" t="n">
        <v>2025</v>
      </c>
      <c r="L142" s="3" t="s">
        <v>51</v>
      </c>
      <c r="M142" s="4" t="n">
        <v>80924</v>
      </c>
      <c r="N142" s="5" t="s">
        <v>607</v>
      </c>
      <c r="O142" s="6" t="s">
        <v>26</v>
      </c>
      <c r="P142" s="3" t="s">
        <v>608</v>
      </c>
    </row>
    <row r="143" customFormat="false" ht="15" hidden="false" customHeight="false" outlineLevel="0" collapsed="false">
      <c r="A143" s="2" t="n">
        <v>142</v>
      </c>
      <c r="B143" s="3" t="s">
        <v>609</v>
      </c>
      <c r="C143" s="3" t="s">
        <v>610</v>
      </c>
      <c r="D143" s="2" t="s">
        <v>18</v>
      </c>
      <c r="E143" s="3" t="s">
        <v>37</v>
      </c>
      <c r="F143" s="3" t="s">
        <v>31</v>
      </c>
      <c r="G143" s="3" t="s">
        <v>611</v>
      </c>
      <c r="H143" s="3" t="s">
        <v>22</v>
      </c>
      <c r="I143" s="3" t="s">
        <v>23</v>
      </c>
      <c r="J143" s="3" t="n">
        <v>100</v>
      </c>
      <c r="K143" s="3" t="s">
        <v>66</v>
      </c>
      <c r="L143" s="3" t="s">
        <v>66</v>
      </c>
      <c r="M143" s="4" t="n">
        <v>54807</v>
      </c>
      <c r="N143" s="5" t="s">
        <v>612</v>
      </c>
      <c r="O143" s="6" t="s">
        <v>26</v>
      </c>
      <c r="P143" s="3" t="s">
        <v>613</v>
      </c>
    </row>
    <row r="144" customFormat="false" ht="23.85" hidden="false" customHeight="false" outlineLevel="0" collapsed="false">
      <c r="A144" s="2" t="n">
        <v>143</v>
      </c>
      <c r="B144" s="3" t="s">
        <v>614</v>
      </c>
      <c r="C144" s="3" t="s">
        <v>615</v>
      </c>
      <c r="D144" s="2" t="s">
        <v>18</v>
      </c>
      <c r="E144" s="3" t="s">
        <v>37</v>
      </c>
      <c r="F144" s="3" t="s">
        <v>20</v>
      </c>
      <c r="G144" s="3" t="s">
        <v>616</v>
      </c>
      <c r="H144" s="3" t="s">
        <v>44</v>
      </c>
      <c r="I144" s="3" t="s">
        <v>45</v>
      </c>
      <c r="J144" s="3" t="n">
        <v>100</v>
      </c>
      <c r="K144" s="3" t="n">
        <v>2024</v>
      </c>
      <c r="L144" s="3" t="s">
        <v>478</v>
      </c>
      <c r="M144" s="4" t="n">
        <v>92514</v>
      </c>
      <c r="N144" s="5" t="s">
        <v>617</v>
      </c>
      <c r="O144" s="6" t="s">
        <v>26</v>
      </c>
      <c r="P144" s="3" t="s">
        <v>618</v>
      </c>
    </row>
    <row r="145" customFormat="false" ht="23.85" hidden="false" customHeight="false" outlineLevel="0" collapsed="false">
      <c r="A145" s="2" t="n">
        <v>144</v>
      </c>
      <c r="B145" s="3" t="s">
        <v>614</v>
      </c>
      <c r="C145" s="3" t="s">
        <v>619</v>
      </c>
      <c r="D145" s="2" t="s">
        <v>29</v>
      </c>
      <c r="E145" s="3" t="s">
        <v>37</v>
      </c>
      <c r="F145" s="3" t="s">
        <v>20</v>
      </c>
      <c r="G145" s="3" t="s">
        <v>620</v>
      </c>
      <c r="H145" s="3" t="s">
        <v>22</v>
      </c>
      <c r="I145" s="3" t="s">
        <v>23</v>
      </c>
      <c r="J145" s="3" t="n">
        <v>100</v>
      </c>
      <c r="K145" s="3" t="n">
        <v>2025</v>
      </c>
      <c r="L145" s="3" t="s">
        <v>51</v>
      </c>
      <c r="M145" s="4" t="n">
        <v>134204</v>
      </c>
      <c r="N145" s="5" t="s">
        <v>621</v>
      </c>
      <c r="O145" s="6" t="s">
        <v>26</v>
      </c>
      <c r="P145" s="3" t="s">
        <v>622</v>
      </c>
    </row>
    <row r="146" customFormat="false" ht="23.85" hidden="false" customHeight="false" outlineLevel="0" collapsed="false">
      <c r="A146" s="2" t="n">
        <v>145</v>
      </c>
      <c r="B146" s="3" t="s">
        <v>614</v>
      </c>
      <c r="C146" s="3" t="s">
        <v>623</v>
      </c>
      <c r="D146" s="2" t="s">
        <v>29</v>
      </c>
      <c r="E146" s="3" t="s">
        <v>37</v>
      </c>
      <c r="F146" s="3" t="s">
        <v>93</v>
      </c>
      <c r="G146" s="3" t="s">
        <v>624</v>
      </c>
      <c r="H146" s="3" t="s">
        <v>22</v>
      </c>
      <c r="I146" s="3" t="s">
        <v>23</v>
      </c>
      <c r="J146" s="3" t="n">
        <v>100</v>
      </c>
      <c r="K146" s="3" t="n">
        <v>2026</v>
      </c>
      <c r="L146" s="3" t="s">
        <v>51</v>
      </c>
      <c r="M146" s="4" t="n">
        <v>88912</v>
      </c>
      <c r="N146" s="5" t="s">
        <v>625</v>
      </c>
      <c r="O146" s="6" t="s">
        <v>26</v>
      </c>
      <c r="P146" s="3" t="s">
        <v>626</v>
      </c>
    </row>
    <row r="147" customFormat="false" ht="23.85" hidden="false" customHeight="false" outlineLevel="0" collapsed="false">
      <c r="A147" s="2" t="n">
        <v>146</v>
      </c>
      <c r="B147" s="3" t="s">
        <v>614</v>
      </c>
      <c r="C147" s="3" t="s">
        <v>627</v>
      </c>
      <c r="D147" s="2" t="s">
        <v>29</v>
      </c>
      <c r="E147" s="3" t="s">
        <v>59</v>
      </c>
      <c r="F147" s="3" t="s">
        <v>20</v>
      </c>
      <c r="G147" s="3" t="s">
        <v>628</v>
      </c>
      <c r="H147" s="3" t="s">
        <v>22</v>
      </c>
      <c r="I147" s="3" t="s">
        <v>23</v>
      </c>
      <c r="J147" s="3" t="n">
        <v>100</v>
      </c>
      <c r="K147" s="3" t="n">
        <v>2025</v>
      </c>
      <c r="L147" s="3" t="s">
        <v>61</v>
      </c>
      <c r="M147" s="4" t="n">
        <v>93873</v>
      </c>
      <c r="N147" s="5" t="s">
        <v>629</v>
      </c>
      <c r="O147" s="6" t="s">
        <v>26</v>
      </c>
      <c r="P147" s="3" t="s">
        <v>630</v>
      </c>
    </row>
    <row r="148" customFormat="false" ht="23.85" hidden="false" customHeight="false" outlineLevel="0" collapsed="false">
      <c r="A148" s="2" t="n">
        <v>147</v>
      </c>
      <c r="B148" s="3" t="s">
        <v>631</v>
      </c>
      <c r="C148" s="3" t="s">
        <v>632</v>
      </c>
      <c r="D148" s="2" t="s">
        <v>18</v>
      </c>
      <c r="E148" s="3" t="s">
        <v>633</v>
      </c>
      <c r="F148" s="3" t="s">
        <v>20</v>
      </c>
      <c r="G148" s="3" t="s">
        <v>634</v>
      </c>
      <c r="H148" s="3" t="s">
        <v>22</v>
      </c>
      <c r="I148" s="3" t="s">
        <v>23</v>
      </c>
      <c r="J148" s="3" t="n">
        <v>100</v>
      </c>
      <c r="K148" s="3" t="n">
        <v>2019</v>
      </c>
      <c r="L148" s="3" t="s">
        <v>635</v>
      </c>
      <c r="M148" s="4" t="n">
        <v>410697</v>
      </c>
      <c r="N148" s="5" t="s">
        <v>636</v>
      </c>
      <c r="O148" s="6" t="s">
        <v>26</v>
      </c>
      <c r="P148" s="3" t="s">
        <v>637</v>
      </c>
    </row>
  </sheetData>
  <autoFilter ref="A1:P148"/>
  <hyperlinks>
    <hyperlink ref="O2" r:id="rId1" display="Escribir por WhatsApp"/>
    <hyperlink ref="O3" r:id="rId2" display="Escribir por WhatsApp"/>
    <hyperlink ref="O4" r:id="rId3" display="Escribir por WhatsApp"/>
    <hyperlink ref="O5" r:id="rId4" display="Escribir por WhatsApp"/>
    <hyperlink ref="O6" r:id="rId5" display="Escribir por WhatsApp"/>
    <hyperlink ref="O7" r:id="rId6" display="Escribir por WhatsApp"/>
    <hyperlink ref="O8" r:id="rId7" display="Escribir por WhatsApp"/>
    <hyperlink ref="O9" r:id="rId8" display="Escribir por WhatsApp"/>
    <hyperlink ref="O10" r:id="rId9" display="Escribir por WhatsApp"/>
    <hyperlink ref="O11" r:id="rId10" display="Escribir por WhatsApp"/>
    <hyperlink ref="O12" r:id="rId11" display="Escribir por WhatsApp"/>
    <hyperlink ref="O13" r:id="rId12" display="Escribir por WhatsApp"/>
    <hyperlink ref="O14" r:id="rId13" display="Escribir por WhatsApp"/>
    <hyperlink ref="O15" r:id="rId14" display="Escribir por WhatsApp"/>
    <hyperlink ref="O16" r:id="rId15" display="Escribir por WhatsApp"/>
    <hyperlink ref="O17" r:id="rId16" display="Escribir por WhatsApp"/>
    <hyperlink ref="O18" r:id="rId17" display="Escribir por WhatsApp"/>
    <hyperlink ref="O19" r:id="rId18" display="Escribir por WhatsApp"/>
    <hyperlink ref="O20" r:id="rId19" display="Escribir por WhatsApp"/>
    <hyperlink ref="O21" r:id="rId20" display="Escribir por WhatsApp"/>
    <hyperlink ref="O22" r:id="rId21" display="Escribir por WhatsApp"/>
    <hyperlink ref="O23" r:id="rId22" display="Escribir por WhatsApp"/>
    <hyperlink ref="O24" r:id="rId23" display="Escribir por WhatsApp"/>
    <hyperlink ref="O25" r:id="rId24" display="Escribir por WhatsApp"/>
    <hyperlink ref="O26" r:id="rId25" display="Escribir por WhatsApp"/>
    <hyperlink ref="O27" r:id="rId26" display="Escribir por WhatsApp"/>
    <hyperlink ref="O28" r:id="rId27" display="Escribir por WhatsApp"/>
    <hyperlink ref="O29" r:id="rId28" display="Escribir por WhatsApp"/>
    <hyperlink ref="O30" r:id="rId29" display="Escribir por WhatsApp"/>
    <hyperlink ref="O31" r:id="rId30" display="Escribir por WhatsApp"/>
    <hyperlink ref="O32" r:id="rId31" display="Escribir por WhatsApp"/>
    <hyperlink ref="O33" r:id="rId32" display="Escribir por WhatsApp"/>
    <hyperlink ref="O34" r:id="rId33" display="Escribir por WhatsApp"/>
    <hyperlink ref="O35" r:id="rId34" display="Escribir por WhatsApp"/>
    <hyperlink ref="O36" r:id="rId35" display="Escribir por WhatsApp"/>
    <hyperlink ref="O37" r:id="rId36" display="Escribir por WhatsApp"/>
    <hyperlink ref="O38" r:id="rId37" display="Escribir por WhatsApp"/>
    <hyperlink ref="O39" r:id="rId38" display="Escribir por WhatsApp"/>
    <hyperlink ref="O40" r:id="rId39" display="Escribir por WhatsApp"/>
    <hyperlink ref="O41" r:id="rId40" display="Escribir por WhatsApp"/>
    <hyperlink ref="O42" r:id="rId41" display="Escribir por WhatsApp"/>
    <hyperlink ref="O43" r:id="rId42" display="Escribir por WhatsApp"/>
    <hyperlink ref="O44" r:id="rId43" display="Escribir por WhatsApp"/>
    <hyperlink ref="O45" r:id="rId44" display="Escribir por WhatsApp"/>
    <hyperlink ref="O46" r:id="rId45" display="Escribir por WhatsApp"/>
    <hyperlink ref="O47" r:id="rId46" display="Escribir por WhatsApp"/>
    <hyperlink ref="O48" r:id="rId47" display="Escribir por WhatsApp"/>
    <hyperlink ref="O49" r:id="rId48" display="Escribir por WhatsApp"/>
    <hyperlink ref="O50" r:id="rId49" display="Escribir por WhatsApp"/>
    <hyperlink ref="O51" r:id="rId50" display="Escribir por WhatsApp"/>
    <hyperlink ref="O52" r:id="rId51" display="Escribir por WhatsApp"/>
    <hyperlink ref="O53" r:id="rId52" display="Escribir por WhatsApp"/>
    <hyperlink ref="O54" r:id="rId53" display="Escribir por WhatsApp"/>
    <hyperlink ref="O55" r:id="rId54" display="Escribir por WhatsApp"/>
    <hyperlink ref="O56" r:id="rId55" display="Escribir por WhatsApp"/>
    <hyperlink ref="O57" r:id="rId56" display="Escribir por WhatsApp"/>
    <hyperlink ref="O58" r:id="rId57" display="Escribir por WhatsApp"/>
    <hyperlink ref="O59" r:id="rId58" display="Escribir por WhatsApp"/>
    <hyperlink ref="O60" r:id="rId59" display="Escribir por WhatsApp"/>
    <hyperlink ref="O61" r:id="rId60" display="Escribir por WhatsApp"/>
    <hyperlink ref="O62" r:id="rId61" display="Escribir por WhatsApp"/>
    <hyperlink ref="O63" r:id="rId62" display="Escribir por WhatsApp"/>
    <hyperlink ref="O64" r:id="rId63" display="Escribir por WhatsApp"/>
    <hyperlink ref="O65" r:id="rId64" display="Escribir por WhatsApp"/>
    <hyperlink ref="O66" r:id="rId65" display="Escribir por WhatsApp"/>
    <hyperlink ref="O67" r:id="rId66" display="Escribir por WhatsApp"/>
    <hyperlink ref="O68" r:id="rId67" display="Escribir por WhatsApp"/>
    <hyperlink ref="O69" r:id="rId68" display="Escribir por WhatsApp"/>
    <hyperlink ref="O70" r:id="rId69" display="Escribir por WhatsApp"/>
    <hyperlink ref="O71" r:id="rId70" display="Escribir por WhatsApp"/>
    <hyperlink ref="O72" r:id="rId71" display="Escribir por WhatsApp"/>
    <hyperlink ref="O73" r:id="rId72" display="Escribir por WhatsApp"/>
    <hyperlink ref="O74" r:id="rId73" display="Escribir por WhatsApp"/>
    <hyperlink ref="O75" r:id="rId74" display="Escribir por WhatsApp"/>
    <hyperlink ref="O76" r:id="rId75" display="Escribir por WhatsApp"/>
    <hyperlink ref="O77" r:id="rId76" display="Escribir por WhatsApp"/>
    <hyperlink ref="O78" r:id="rId77" display="Escribir por WhatsApp"/>
    <hyperlink ref="O79" r:id="rId78" display="Escribir por WhatsApp"/>
    <hyperlink ref="O80" r:id="rId79" display="Escribir por WhatsApp"/>
    <hyperlink ref="O81" r:id="rId80" display="Escribir por WhatsApp"/>
    <hyperlink ref="O82" r:id="rId81" display="Escribir por WhatsApp"/>
    <hyperlink ref="O83" r:id="rId82" display="Escribir por WhatsApp"/>
    <hyperlink ref="O84" r:id="rId83" display="Escribir por WhatsApp"/>
    <hyperlink ref="O85" r:id="rId84" display="Escribir por WhatsApp"/>
    <hyperlink ref="O86" r:id="rId85" display="Escribir por WhatsApp"/>
    <hyperlink ref="O87" r:id="rId86" display="Escribir por WhatsApp"/>
    <hyperlink ref="O88" r:id="rId87" display="Escribir por WhatsApp"/>
    <hyperlink ref="O89" r:id="rId88" display="Escribir por WhatsApp"/>
    <hyperlink ref="O90" r:id="rId89" display="Escribir por WhatsApp"/>
    <hyperlink ref="O91" r:id="rId90" display="Escribir por WhatsApp"/>
    <hyperlink ref="O92" r:id="rId91" display="Escribir por WhatsApp"/>
    <hyperlink ref="O93" r:id="rId92" display="Escribir por WhatsApp"/>
    <hyperlink ref="O94" r:id="rId93" display="Escribir por WhatsApp"/>
    <hyperlink ref="O95" r:id="rId94" display="Escribir por WhatsApp"/>
    <hyperlink ref="O96" r:id="rId95" display="Escribir por WhatsApp"/>
    <hyperlink ref="O97" r:id="rId96" display="Escribir por WhatsApp"/>
    <hyperlink ref="O98" r:id="rId97" display="Escribir por WhatsApp"/>
    <hyperlink ref="O99" r:id="rId98" display="Escribir por WhatsApp"/>
    <hyperlink ref="O100" r:id="rId99" display="Escribir por WhatsApp"/>
    <hyperlink ref="O101" r:id="rId100" display="Escribir por WhatsApp"/>
    <hyperlink ref="O102" r:id="rId101" display="Escribir por WhatsApp"/>
    <hyperlink ref="O103" r:id="rId102" display="Escribir por WhatsApp"/>
    <hyperlink ref="O104" r:id="rId103" display="Escribir por WhatsApp"/>
    <hyperlink ref="O105" r:id="rId104" display="Escribir por WhatsApp"/>
    <hyperlink ref="O106" r:id="rId105" display="Escribir por WhatsApp"/>
    <hyperlink ref="O107" r:id="rId106" display="Escribir por WhatsApp"/>
    <hyperlink ref="O108" r:id="rId107" display="Escribir por WhatsApp"/>
    <hyperlink ref="O109" r:id="rId108" display="Escribir por WhatsApp"/>
    <hyperlink ref="O110" r:id="rId109" display="Escribir por WhatsApp"/>
    <hyperlink ref="O111" r:id="rId110" display="Escribir por WhatsApp"/>
    <hyperlink ref="O112" r:id="rId111" display="Escribir por WhatsApp"/>
    <hyperlink ref="O113" r:id="rId112" display="Escribir por WhatsApp"/>
    <hyperlink ref="O114" r:id="rId113" display="Escribir por WhatsApp"/>
    <hyperlink ref="O115" r:id="rId114" display="Escribir por WhatsApp"/>
    <hyperlink ref="O116" r:id="rId115" display="Escribir por WhatsApp"/>
    <hyperlink ref="O117" r:id="rId116" display="Escribir por WhatsApp"/>
    <hyperlink ref="O118" r:id="rId117" display="Escribir por WhatsApp"/>
    <hyperlink ref="O119" r:id="rId118" display="Escribir por WhatsApp"/>
    <hyperlink ref="O120" r:id="rId119" display="Escribir por WhatsApp"/>
    <hyperlink ref="O121" r:id="rId120" display="Escribir por WhatsApp"/>
    <hyperlink ref="O122" r:id="rId121" display="Escribir por WhatsApp"/>
    <hyperlink ref="O123" r:id="rId122" display="Escribir por WhatsApp"/>
    <hyperlink ref="O124" r:id="rId123" display="Escribir por WhatsApp"/>
    <hyperlink ref="O125" r:id="rId124" display="Escribir por WhatsApp"/>
    <hyperlink ref="O126" r:id="rId125" display="Escribir por WhatsApp"/>
    <hyperlink ref="O127" r:id="rId126" display="Escribir por WhatsApp"/>
    <hyperlink ref="O128" r:id="rId127" display="Escribir por WhatsApp"/>
    <hyperlink ref="O129" r:id="rId128" display="Escribir por WhatsApp"/>
    <hyperlink ref="O130" r:id="rId129" display="Escribir por WhatsApp"/>
    <hyperlink ref="O131" r:id="rId130" display="Escribir por WhatsApp"/>
    <hyperlink ref="O132" r:id="rId131" display="Escribir por WhatsApp"/>
    <hyperlink ref="O133" r:id="rId132" display="Escribir por WhatsApp"/>
    <hyperlink ref="O134" r:id="rId133" display="Escribir por WhatsApp"/>
    <hyperlink ref="O135" r:id="rId134" display="Escribir por WhatsApp"/>
    <hyperlink ref="O136" r:id="rId135" display="Escribir por WhatsApp"/>
    <hyperlink ref="O137" r:id="rId136" display="Escribir por WhatsApp"/>
    <hyperlink ref="O138" r:id="rId137" display="Escribir por WhatsApp"/>
    <hyperlink ref="O139" r:id="rId138" display="Escribir por WhatsApp"/>
    <hyperlink ref="O140" r:id="rId139" display="Escribir por WhatsApp"/>
    <hyperlink ref="O141" r:id="rId140" display="Escribir por WhatsApp"/>
    <hyperlink ref="O142" r:id="rId141" display="Escribir por WhatsApp"/>
    <hyperlink ref="O143" r:id="rId142" display="Escribir por WhatsApp"/>
    <hyperlink ref="O144" r:id="rId143" display="Escribir por WhatsApp"/>
    <hyperlink ref="O145" r:id="rId144" display="Escribir por WhatsApp"/>
    <hyperlink ref="O146" r:id="rId145" display="Escribir por WhatsApp"/>
    <hyperlink ref="O147" r:id="rId146" display="Escribir por WhatsApp"/>
    <hyperlink ref="O148" r:id="rId147" display="Escribir por WhatsApp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48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58"/>
    <col collapsed="false" customWidth="true" hidden="false" outlineLevel="0" max="4" min="3" style="0" width="14"/>
    <col collapsed="false" customWidth="true" hidden="false" outlineLevel="0" max="7" min="5" style="0" width="16"/>
  </cols>
  <sheetData>
    <row r="1" customFormat="false" ht="17.35" hidden="false" customHeight="false" outlineLevel="0" collapsed="false">
      <c r="A1" s="7" t="s">
        <v>638</v>
      </c>
      <c r="B1" s="7"/>
      <c r="C1" s="7"/>
      <c r="D1" s="7"/>
      <c r="E1" s="7"/>
      <c r="F1" s="7"/>
      <c r="G1" s="7"/>
    </row>
    <row r="3" customFormat="false" ht="31.5" hidden="false" customHeight="true" outlineLevel="0" collapsed="false">
      <c r="A3" s="1" t="s">
        <v>1</v>
      </c>
      <c r="B3" s="1" t="s">
        <v>639</v>
      </c>
      <c r="C3" s="1" t="s">
        <v>640</v>
      </c>
      <c r="D3" s="1" t="s">
        <v>641</v>
      </c>
      <c r="E3" s="1" t="s">
        <v>642</v>
      </c>
      <c r="F3" s="1" t="s">
        <v>643</v>
      </c>
      <c r="G3" s="1" t="s">
        <v>644</v>
      </c>
    </row>
    <row r="4" customFormat="false" ht="23.85" hidden="false" customHeight="false" outlineLevel="0" collapsed="false">
      <c r="A4" s="3" t="s">
        <v>16</v>
      </c>
      <c r="B4" s="3" t="s">
        <v>645</v>
      </c>
      <c r="C4" s="2" t="n">
        <f aca="false">COUNTIF(Productos!$B$2:$B$148,A4)</f>
        <v>8</v>
      </c>
      <c r="D4" s="2" t="n">
        <f aca="false">COUNTIFS(Productos!$B$2:$B$148,A4,Productos!$M$2:$M$148,"&lt;&gt;")</f>
        <v>7</v>
      </c>
      <c r="E4" s="4" t="n">
        <f aca="false">IF(D4=0,"Consultar",_xlfn.MINIFS(Productos!$M$2:$M$148,Productos!$B$2:$B$148,A4))</f>
        <v>70000</v>
      </c>
      <c r="F4" s="4" t="n">
        <f aca="false">IF(D4=0,"Consultar",_xlfn.MAXIFS(Productos!$M$2:$M$148,Productos!$B$2:$B$148,A4))</f>
        <v>140763</v>
      </c>
      <c r="G4" s="4" t="n">
        <f aca="false">IF(D4=0,"Consultar",AVERAGEIFS(Productos!$M$2:$M$148,Productos!$B$2:$B$148,A4))</f>
        <v>95332</v>
      </c>
    </row>
    <row r="5" customFormat="false" ht="23.85" hidden="false" customHeight="false" outlineLevel="0" collapsed="false">
      <c r="A5" s="3" t="s">
        <v>67</v>
      </c>
      <c r="B5" s="3" t="s">
        <v>646</v>
      </c>
      <c r="C5" s="2" t="n">
        <f aca="false">COUNTIF(Productos!$B$2:$B$148,A5)</f>
        <v>3</v>
      </c>
      <c r="D5" s="2" t="n">
        <f aca="false">COUNTIFS(Productos!$B$2:$B$148,A5,Productos!$M$2:$M$148,"&lt;&gt;")</f>
        <v>3</v>
      </c>
      <c r="E5" s="4" t="n">
        <f aca="false">IF(D5=0,"Consultar",_xlfn.MINIFS(Productos!$M$2:$M$148,Productos!$B$2:$B$148,A5))</f>
        <v>122112</v>
      </c>
      <c r="F5" s="4" t="n">
        <f aca="false">IF(D5=0,"Consultar",_xlfn.MAXIFS(Productos!$M$2:$M$148,Productos!$B$2:$B$148,A5))</f>
        <v>131103</v>
      </c>
      <c r="G5" s="4" t="n">
        <f aca="false">IF(D5=0,"Consultar",AVERAGEIFS(Productos!$M$2:$M$148,Productos!$B$2:$B$148,A5))</f>
        <v>126301.666666667</v>
      </c>
    </row>
    <row r="6" customFormat="false" ht="15" hidden="false" customHeight="false" outlineLevel="0" collapsed="false">
      <c r="A6" s="3" t="s">
        <v>81</v>
      </c>
      <c r="B6" s="3" t="s">
        <v>647</v>
      </c>
      <c r="C6" s="2" t="n">
        <f aca="false">COUNTIF(Productos!$B$2:$B$148,A6)</f>
        <v>1</v>
      </c>
      <c r="D6" s="2" t="n">
        <f aca="false">COUNTIFS(Productos!$B$2:$B$148,A6,Productos!$M$2:$M$148,"&lt;&gt;")</f>
        <v>1</v>
      </c>
      <c r="E6" s="4" t="n">
        <f aca="false">IF(D6=0,"Consultar",_xlfn.MINIFS(Productos!$M$2:$M$148,Productos!$B$2:$B$148,A6))</f>
        <v>45696</v>
      </c>
      <c r="F6" s="4" t="n">
        <f aca="false">IF(D6=0,"Consultar",_xlfn.MAXIFS(Productos!$M$2:$M$148,Productos!$B$2:$B$148,A6))</f>
        <v>45696</v>
      </c>
      <c r="G6" s="4" t="n">
        <f aca="false">IF(D6=0,"Consultar",AVERAGEIFS(Productos!$M$2:$M$148,Productos!$B$2:$B$148,A6))</f>
        <v>45696</v>
      </c>
    </row>
    <row r="7" customFormat="false" ht="23.85" hidden="false" customHeight="false" outlineLevel="0" collapsed="false">
      <c r="A7" s="3" t="s">
        <v>87</v>
      </c>
      <c r="B7" s="3" t="s">
        <v>648</v>
      </c>
      <c r="C7" s="2" t="n">
        <f aca="false">COUNTIF(Productos!$B$2:$B$148,A7)</f>
        <v>18</v>
      </c>
      <c r="D7" s="2" t="n">
        <f aca="false">COUNTIFS(Productos!$B$2:$B$148,A7,Productos!$M$2:$M$148,"&lt;&gt;")</f>
        <v>18</v>
      </c>
      <c r="E7" s="4" t="n">
        <f aca="false">IF(D7=0,"Consultar",_xlfn.MINIFS(Productos!$M$2:$M$148,Productos!$B$2:$B$148,A7))</f>
        <v>56120</v>
      </c>
      <c r="F7" s="4" t="n">
        <f aca="false">IF(D7=0,"Consultar",_xlfn.MAXIFS(Productos!$M$2:$M$148,Productos!$B$2:$B$148,A7))</f>
        <v>139785</v>
      </c>
      <c r="G7" s="4" t="n">
        <f aca="false">IF(D7=0,"Consultar",AVERAGEIFS(Productos!$M$2:$M$148,Productos!$B$2:$B$148,A7))</f>
        <v>87766.8888888889</v>
      </c>
    </row>
    <row r="8" customFormat="false" ht="15" hidden="false" customHeight="false" outlineLevel="0" collapsed="false">
      <c r="A8" s="3" t="s">
        <v>168</v>
      </c>
      <c r="B8" s="3"/>
      <c r="C8" s="2" t="n">
        <f aca="false">COUNTIF(Productos!$B$2:$B$148,A8)</f>
        <v>2</v>
      </c>
      <c r="D8" s="2" t="n">
        <f aca="false">COUNTIFS(Productos!$B$2:$B$148,A8,Productos!$M$2:$M$148,"&lt;&gt;")</f>
        <v>2</v>
      </c>
      <c r="E8" s="4" t="n">
        <f aca="false">IF(D8=0,"Consultar",_xlfn.MINIFS(Productos!$M$2:$M$148,Productos!$B$2:$B$148,A8))</f>
        <v>47938</v>
      </c>
      <c r="F8" s="4" t="n">
        <f aca="false">IF(D8=0,"Consultar",_xlfn.MAXIFS(Productos!$M$2:$M$148,Productos!$B$2:$B$148,A8))</f>
        <v>52995</v>
      </c>
      <c r="G8" s="4" t="n">
        <f aca="false">IF(D8=0,"Consultar",AVERAGEIFS(Productos!$M$2:$M$148,Productos!$B$2:$B$148,A8))</f>
        <v>50466.5</v>
      </c>
    </row>
    <row r="9" customFormat="false" ht="15" hidden="false" customHeight="false" outlineLevel="0" collapsed="false">
      <c r="A9" s="3" t="s">
        <v>178</v>
      </c>
      <c r="B9" s="3"/>
      <c r="C9" s="2" t="n">
        <f aca="false">COUNTIF(Productos!$B$2:$B$148,A9)</f>
        <v>2</v>
      </c>
      <c r="D9" s="2" t="n">
        <f aca="false">COUNTIFS(Productos!$B$2:$B$148,A9,Productos!$M$2:$M$148,"&lt;&gt;")</f>
        <v>2</v>
      </c>
      <c r="E9" s="4" t="n">
        <f aca="false">IF(D9=0,"Consultar",_xlfn.MINIFS(Productos!$M$2:$M$148,Productos!$B$2:$B$148,A9))</f>
        <v>142695</v>
      </c>
      <c r="F9" s="4" t="n">
        <f aca="false">IF(D9=0,"Consultar",_xlfn.MAXIFS(Productos!$M$2:$M$148,Productos!$B$2:$B$148,A9))</f>
        <v>180258</v>
      </c>
      <c r="G9" s="4" t="n">
        <f aca="false">IF(D9=0,"Consultar",AVERAGEIFS(Productos!$M$2:$M$148,Productos!$B$2:$B$148,A9))</f>
        <v>161476.5</v>
      </c>
    </row>
    <row r="10" customFormat="false" ht="23.85" hidden="false" customHeight="false" outlineLevel="0" collapsed="false">
      <c r="A10" s="3" t="s">
        <v>187</v>
      </c>
      <c r="B10" s="3" t="s">
        <v>649</v>
      </c>
      <c r="C10" s="2" t="n">
        <f aca="false">COUNTIF(Productos!$B$2:$B$148,A10)</f>
        <v>2</v>
      </c>
      <c r="D10" s="2" t="n">
        <f aca="false">COUNTIFS(Productos!$B$2:$B$148,A10,Productos!$M$2:$M$148,"&lt;&gt;")</f>
        <v>2</v>
      </c>
      <c r="E10" s="4" t="n">
        <f aca="false">IF(D10=0,"Consultar",_xlfn.MINIFS(Productos!$M$2:$M$148,Productos!$B$2:$B$148,A10))</f>
        <v>52208</v>
      </c>
      <c r="F10" s="4" t="n">
        <f aca="false">IF(D10=0,"Consultar",_xlfn.MAXIFS(Productos!$M$2:$M$148,Productos!$B$2:$B$148,A10))</f>
        <v>59577</v>
      </c>
      <c r="G10" s="4" t="n">
        <f aca="false">IF(D10=0,"Consultar",AVERAGEIFS(Productos!$M$2:$M$148,Productos!$B$2:$B$148,A10))</f>
        <v>55892.5</v>
      </c>
    </row>
    <row r="11" customFormat="false" ht="15" hidden="false" customHeight="false" outlineLevel="0" collapsed="false">
      <c r="A11" s="3" t="s">
        <v>197</v>
      </c>
      <c r="B11" s="3" t="s">
        <v>650</v>
      </c>
      <c r="C11" s="2" t="n">
        <f aca="false">COUNTIF(Productos!$B$2:$B$148,A11)</f>
        <v>1</v>
      </c>
      <c r="D11" s="2" t="n">
        <f aca="false">COUNTIFS(Productos!$B$2:$B$148,A11,Productos!$M$2:$M$148,"&lt;&gt;")</f>
        <v>0</v>
      </c>
      <c r="E11" s="4" t="str">
        <f aca="false">IF(D11=0,"Consultar",_xlfn.MINIFS(Productos!$M$2:$M$148,Productos!$B$2:$B$148,A11))</f>
        <v>Consultar</v>
      </c>
      <c r="F11" s="4" t="str">
        <f aca="false">IF(D11=0,"Consultar",_xlfn.MAXIFS(Productos!$M$2:$M$148,Productos!$B$2:$B$148,A11))</f>
        <v>Consultar</v>
      </c>
      <c r="G11" s="4" t="str">
        <f aca="false">IF(D11=0,"Consultar",AVERAGEIFS(Productos!$M$2:$M$148,Productos!$B$2:$B$148,A11))</f>
        <v>Consultar</v>
      </c>
    </row>
    <row r="12" customFormat="false" ht="15" hidden="false" customHeight="false" outlineLevel="0" collapsed="false">
      <c r="A12" s="3" t="s">
        <v>200</v>
      </c>
      <c r="B12" s="3" t="s">
        <v>651</v>
      </c>
      <c r="C12" s="2" t="n">
        <f aca="false">COUNTIF(Productos!$B$2:$B$148,A12)</f>
        <v>7</v>
      </c>
      <c r="D12" s="2" t="n">
        <f aca="false">COUNTIFS(Productos!$B$2:$B$148,A12,Productos!$M$2:$M$148,"&lt;&gt;")</f>
        <v>7</v>
      </c>
      <c r="E12" s="4" t="n">
        <f aca="false">IF(D12=0,"Consultar",_xlfn.MINIFS(Productos!$M$2:$M$148,Productos!$B$2:$B$148,A12))</f>
        <v>62010</v>
      </c>
      <c r="F12" s="4" t="n">
        <f aca="false">IF(D12=0,"Consultar",_xlfn.MAXIFS(Productos!$M$2:$M$148,Productos!$B$2:$B$148,A12))</f>
        <v>145318</v>
      </c>
      <c r="G12" s="4" t="n">
        <f aca="false">IF(D12=0,"Consultar",AVERAGEIFS(Productos!$M$2:$M$148,Productos!$B$2:$B$148,A12))</f>
        <v>105621.714285714</v>
      </c>
    </row>
    <row r="13" customFormat="false" ht="23.85" hidden="false" customHeight="false" outlineLevel="0" collapsed="false">
      <c r="A13" s="3" t="s">
        <v>231</v>
      </c>
      <c r="B13" s="3" t="s">
        <v>652</v>
      </c>
      <c r="C13" s="2" t="n">
        <f aca="false">COUNTIF(Productos!$B$2:$B$148,A13)</f>
        <v>63</v>
      </c>
      <c r="D13" s="2" t="n">
        <f aca="false">COUNTIFS(Productos!$B$2:$B$148,A13,Productos!$M$2:$M$148,"&lt;&gt;")</f>
        <v>55</v>
      </c>
      <c r="E13" s="4" t="n">
        <f aca="false">IF(D13=0,"Consultar",_xlfn.MINIFS(Productos!$M$2:$M$148,Productos!$B$2:$B$148,A13))</f>
        <v>36418</v>
      </c>
      <c r="F13" s="4" t="n">
        <f aca="false">IF(D13=0,"Consultar",_xlfn.MAXIFS(Productos!$M$2:$M$148,Productos!$B$2:$B$148,A13))</f>
        <v>159747</v>
      </c>
      <c r="G13" s="4" t="n">
        <f aca="false">IF(D13=0,"Consultar",AVERAGEIFS(Productos!$M$2:$M$148,Productos!$B$2:$B$148,A13))</f>
        <v>68569.2727272727</v>
      </c>
    </row>
    <row r="14" customFormat="false" ht="23.85" hidden="false" customHeight="false" outlineLevel="0" collapsed="false">
      <c r="A14" s="3" t="s">
        <v>475</v>
      </c>
      <c r="B14" s="3" t="s">
        <v>653</v>
      </c>
      <c r="C14" s="2" t="n">
        <f aca="false">COUNTIF(Productos!$B$2:$B$148,A14)</f>
        <v>24</v>
      </c>
      <c r="D14" s="2" t="n">
        <f aca="false">COUNTIFS(Productos!$B$2:$B$148,A14,Productos!$M$2:$M$148,"&lt;&gt;")</f>
        <v>21</v>
      </c>
      <c r="E14" s="4" t="n">
        <f aca="false">IF(D14=0,"Consultar",_xlfn.MINIFS(Productos!$M$2:$M$148,Productos!$B$2:$B$148,A14))</f>
        <v>34344</v>
      </c>
      <c r="F14" s="4" t="n">
        <f aca="false">IF(D14=0,"Consultar",_xlfn.MAXIFS(Productos!$M$2:$M$148,Productos!$B$2:$B$148,A14))</f>
        <v>80446</v>
      </c>
      <c r="G14" s="4" t="n">
        <f aca="false">IF(D14=0,"Consultar",AVERAGEIFS(Productos!$M$2:$M$148,Productos!$B$2:$B$148,A14))</f>
        <v>52335.9523809524</v>
      </c>
    </row>
    <row r="15" customFormat="false" ht="23.85" hidden="false" customHeight="false" outlineLevel="0" collapsed="false">
      <c r="A15" s="3" t="s">
        <v>565</v>
      </c>
      <c r="B15" s="3" t="s">
        <v>654</v>
      </c>
      <c r="C15" s="2" t="n">
        <f aca="false">COUNTIF(Productos!$B$2:$B$148,A15)</f>
        <v>2</v>
      </c>
      <c r="D15" s="2" t="n">
        <f aca="false">COUNTIFS(Productos!$B$2:$B$148,A15,Productos!$M$2:$M$148,"&lt;&gt;")</f>
        <v>2</v>
      </c>
      <c r="E15" s="4" t="n">
        <f aca="false">IF(D15=0,"Consultar",_xlfn.MINIFS(Productos!$M$2:$M$148,Productos!$B$2:$B$148,A15))</f>
        <v>15861</v>
      </c>
      <c r="F15" s="4" t="n">
        <f aca="false">IF(D15=0,"Consultar",_xlfn.MAXIFS(Productos!$M$2:$M$148,Productos!$B$2:$B$148,A15))</f>
        <v>26926</v>
      </c>
      <c r="G15" s="4" t="n">
        <f aca="false">IF(D15=0,"Consultar",AVERAGEIFS(Productos!$M$2:$M$148,Productos!$B$2:$B$148,A15))</f>
        <v>21393.5</v>
      </c>
    </row>
    <row r="16" customFormat="false" ht="23.85" hidden="false" customHeight="false" outlineLevel="0" collapsed="false">
      <c r="A16" s="3" t="s">
        <v>576</v>
      </c>
      <c r="B16" s="3" t="s">
        <v>655</v>
      </c>
      <c r="C16" s="2" t="n">
        <f aca="false">COUNTIF(Productos!$B$2:$B$148,A16)</f>
        <v>8</v>
      </c>
      <c r="D16" s="2" t="n">
        <f aca="false">COUNTIFS(Productos!$B$2:$B$148,A16,Productos!$M$2:$M$148,"&lt;&gt;")</f>
        <v>8</v>
      </c>
      <c r="E16" s="4" t="n">
        <f aca="false">IF(D16=0,"Consultar",_xlfn.MINIFS(Productos!$M$2:$M$148,Productos!$B$2:$B$148,A16))</f>
        <v>66994</v>
      </c>
      <c r="F16" s="4" t="n">
        <f aca="false">IF(D16=0,"Consultar",_xlfn.MAXIFS(Productos!$M$2:$M$148,Productos!$B$2:$B$148,A16))</f>
        <v>102936</v>
      </c>
      <c r="G16" s="4" t="n">
        <f aca="false">IF(D16=0,"Consultar",AVERAGEIFS(Productos!$M$2:$M$148,Productos!$B$2:$B$148,A16))</f>
        <v>90543.625</v>
      </c>
    </row>
    <row r="17" customFormat="false" ht="15" hidden="false" customHeight="false" outlineLevel="0" collapsed="false">
      <c r="A17" s="3" t="s">
        <v>609</v>
      </c>
      <c r="B17" s="3"/>
      <c r="C17" s="2" t="n">
        <f aca="false">COUNTIF(Productos!$B$2:$B$148,A17)</f>
        <v>1</v>
      </c>
      <c r="D17" s="2" t="n">
        <f aca="false">COUNTIFS(Productos!$B$2:$B$148,A17,Productos!$M$2:$M$148,"&lt;&gt;")</f>
        <v>1</v>
      </c>
      <c r="E17" s="4" t="n">
        <f aca="false">IF(D17=0,"Consultar",_xlfn.MINIFS(Productos!$M$2:$M$148,Productos!$B$2:$B$148,A17))</f>
        <v>54807</v>
      </c>
      <c r="F17" s="4" t="n">
        <f aca="false">IF(D17=0,"Consultar",_xlfn.MAXIFS(Productos!$M$2:$M$148,Productos!$B$2:$B$148,A17))</f>
        <v>54807</v>
      </c>
      <c r="G17" s="4" t="n">
        <f aca="false">IF(D17=0,"Consultar",AVERAGEIFS(Productos!$M$2:$M$148,Productos!$B$2:$B$148,A17))</f>
        <v>54807</v>
      </c>
    </row>
    <row r="18" customFormat="false" ht="15" hidden="false" customHeight="false" outlineLevel="0" collapsed="false">
      <c r="A18" s="3" t="s">
        <v>614</v>
      </c>
      <c r="B18" s="3" t="s">
        <v>656</v>
      </c>
      <c r="C18" s="2" t="n">
        <f aca="false">COUNTIF(Productos!$B$2:$B$148,A18)</f>
        <v>4</v>
      </c>
      <c r="D18" s="2" t="n">
        <f aca="false">COUNTIFS(Productos!$B$2:$B$148,A18,Productos!$M$2:$M$148,"&lt;&gt;")</f>
        <v>4</v>
      </c>
      <c r="E18" s="4" t="n">
        <f aca="false">IF(D18=0,"Consultar",_xlfn.MINIFS(Productos!$M$2:$M$148,Productos!$B$2:$B$148,A18))</f>
        <v>88912</v>
      </c>
      <c r="F18" s="4" t="n">
        <f aca="false">IF(D18=0,"Consultar",_xlfn.MAXIFS(Productos!$M$2:$M$148,Productos!$B$2:$B$148,A18))</f>
        <v>134204</v>
      </c>
      <c r="G18" s="4" t="n">
        <f aca="false">IF(D18=0,"Consultar",AVERAGEIFS(Productos!$M$2:$M$148,Productos!$B$2:$B$148,A18))</f>
        <v>102375.75</v>
      </c>
    </row>
    <row r="19" customFormat="false" ht="23.85" hidden="false" customHeight="false" outlineLevel="0" collapsed="false">
      <c r="A19" s="3" t="s">
        <v>631</v>
      </c>
      <c r="B19" s="3" t="s">
        <v>657</v>
      </c>
      <c r="C19" s="2" t="n">
        <f aca="false">COUNTIF(Productos!$B$2:$B$148,A19)</f>
        <v>1</v>
      </c>
      <c r="D19" s="2" t="n">
        <f aca="false">COUNTIFS(Productos!$B$2:$B$148,A19,Productos!$M$2:$M$148,"&lt;&gt;")</f>
        <v>1</v>
      </c>
      <c r="E19" s="4" t="n">
        <f aca="false">IF(D19=0,"Consultar",_xlfn.MINIFS(Productos!$M$2:$M$148,Productos!$B$2:$B$148,A19))</f>
        <v>410697</v>
      </c>
      <c r="F19" s="4" t="n">
        <f aca="false">IF(D19=0,"Consultar",_xlfn.MAXIFS(Productos!$M$2:$M$148,Productos!$B$2:$B$148,A19))</f>
        <v>410697</v>
      </c>
      <c r="G19" s="4" t="n">
        <f aca="false">IF(D19=0,"Consultar",AVERAGEIFS(Productos!$M$2:$M$148,Productos!$B$2:$B$148,A19))</f>
        <v>410697</v>
      </c>
    </row>
    <row r="20" customFormat="false" ht="15" hidden="false" customHeight="false" outlineLevel="0" collapsed="false">
      <c r="A20" s="8" t="s">
        <v>658</v>
      </c>
      <c r="B20" s="8" t="s">
        <v>659</v>
      </c>
      <c r="C20" s="9" t="n">
        <f aca="false">SUM(C4:C19)</f>
        <v>147</v>
      </c>
      <c r="D20" s="9" t="n">
        <f aca="false">SUM(D4:D19)</f>
        <v>134</v>
      </c>
      <c r="E20" s="10" t="n">
        <f aca="false">MIN(Productos!$M$2:$M$148)</f>
        <v>15861</v>
      </c>
      <c r="F20" s="10" t="n">
        <f aca="false">MAX(Productos!$M$2:$M$148)</f>
        <v>410697</v>
      </c>
      <c r="G20" s="10" t="n">
        <f aca="false">AVERAGE(Productos!$M$2:$M$148)</f>
        <v>78054.1791044776</v>
      </c>
    </row>
    <row r="22" customFormat="false" ht="15" hidden="false" customHeight="false" outlineLevel="0" collapsed="false">
      <c r="A22" s="11" t="s">
        <v>660</v>
      </c>
      <c r="C22" s="12" t="str">
        <f aca="false">IF(C20=COUNTA(Productos!$C$2:$C$148),"OK","REVISAR")</f>
        <v>OK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95"/>
  </cols>
  <sheetData>
    <row r="1" customFormat="false" ht="17.35" hidden="false" customHeight="false" outlineLevel="0" collapsed="false">
      <c r="A1" s="7" t="s">
        <v>661</v>
      </c>
      <c r="B1" s="7"/>
    </row>
    <row r="3" customFormat="false" ht="15" hidden="false" customHeight="false" outlineLevel="0" collapsed="false">
      <c r="A3" s="13" t="s">
        <v>662</v>
      </c>
      <c r="B3" s="14" t="s">
        <v>663</v>
      </c>
    </row>
    <row r="4" customFormat="false" ht="15" hidden="false" customHeight="false" outlineLevel="0" collapsed="false">
      <c r="A4" s="13" t="s">
        <v>664</v>
      </c>
      <c r="B4" s="14" t="s">
        <v>665</v>
      </c>
    </row>
    <row r="5" customFormat="false" ht="15" hidden="false" customHeight="false" outlineLevel="0" collapsed="false">
      <c r="A5" s="13" t="s">
        <v>666</v>
      </c>
      <c r="B5" s="14" t="s">
        <v>667</v>
      </c>
    </row>
    <row r="6" customFormat="false" ht="15" hidden="false" customHeight="false" outlineLevel="0" collapsed="false">
      <c r="A6" s="13" t="s">
        <v>668</v>
      </c>
      <c r="B6" s="15" t="s">
        <v>669</v>
      </c>
    </row>
    <row r="8" customFormat="false" ht="15" hidden="false" customHeight="false" outlineLevel="0" collapsed="false">
      <c r="A8" s="13" t="s">
        <v>670</v>
      </c>
      <c r="B8" s="16" t="n">
        <f aca="false">COUNTA(Productos!$C$2:$C$148)</f>
        <v>147</v>
      </c>
    </row>
    <row r="9" customFormat="false" ht="15" hidden="false" customHeight="false" outlineLevel="0" collapsed="false">
      <c r="A9" s="13" t="s">
        <v>671</v>
      </c>
      <c r="B9" s="16" t="n">
        <f aca="false">COUNTA(Casas!$A$4:$A$19)</f>
        <v>16</v>
      </c>
    </row>
    <row r="10" customFormat="false" ht="15" hidden="false" customHeight="false" outlineLevel="0" collapsed="false">
      <c r="A10" s="13" t="s">
        <v>641</v>
      </c>
      <c r="B10" s="16" t="n">
        <f aca="false">COUNT(Productos!$M$2:$M$148)</f>
        <v>134</v>
      </c>
    </row>
    <row r="11" customFormat="false" ht="15" hidden="false" customHeight="false" outlineLevel="0" collapsed="false">
      <c r="A11" s="13" t="s">
        <v>672</v>
      </c>
      <c r="B11" s="16" t="n">
        <f aca="false">COUNTA(Productos!$C$2:$C$148)-COUNT(Productos!$M$2:$M$148)</f>
        <v>13</v>
      </c>
    </row>
    <row r="12" customFormat="false" ht="15" hidden="false" customHeight="false" outlineLevel="0" collapsed="false">
      <c r="A12" s="13" t="s">
        <v>673</v>
      </c>
      <c r="B12" s="16" t="n">
        <f aca="false">COUNTIF(Productos!$D$2:$D$148,"Sí")</f>
        <v>16</v>
      </c>
    </row>
    <row r="14" customFormat="false" ht="15" hidden="false" customHeight="false" outlineLevel="0" collapsed="false">
      <c r="A14" s="17" t="s">
        <v>674</v>
      </c>
      <c r="B14" s="14"/>
    </row>
    <row r="15" customFormat="false" ht="15" hidden="false" customHeight="false" outlineLevel="0" collapsed="false">
      <c r="A15" s="13" t="s">
        <v>675</v>
      </c>
      <c r="B15" s="14" t="s">
        <v>676</v>
      </c>
    </row>
    <row r="16" customFormat="false" ht="23.85" hidden="false" customHeight="false" outlineLevel="0" collapsed="false">
      <c r="A16" s="13" t="s">
        <v>12</v>
      </c>
      <c r="B16" s="14" t="s">
        <v>677</v>
      </c>
    </row>
    <row r="17" customFormat="false" ht="15" hidden="false" customHeight="false" outlineLevel="0" collapsed="false">
      <c r="A17" s="13" t="s">
        <v>7</v>
      </c>
      <c r="B17" s="14" t="s">
        <v>678</v>
      </c>
    </row>
    <row r="18" customFormat="false" ht="23.85" hidden="false" customHeight="false" outlineLevel="0" collapsed="false">
      <c r="A18" s="13" t="s">
        <v>679</v>
      </c>
      <c r="B18" s="14" t="s">
        <v>680</v>
      </c>
    </row>
    <row r="19" customFormat="false" ht="15" hidden="false" customHeight="false" outlineLevel="0" collapsed="false">
      <c r="A19" s="13" t="s">
        <v>681</v>
      </c>
      <c r="B19" s="14" t="s">
        <v>682</v>
      </c>
    </row>
    <row r="20" customFormat="false" ht="15" hidden="false" customHeight="false" outlineLevel="0" collapsed="false">
      <c r="A20" s="13" t="s">
        <v>6</v>
      </c>
      <c r="B20" s="14" t="s">
        <v>683</v>
      </c>
    </row>
    <row r="21" customFormat="false" ht="15" hidden="false" customHeight="false" outlineLevel="0" collapsed="false">
      <c r="A21" s="13" t="s">
        <v>15</v>
      </c>
      <c r="B21" s="14" t="s">
        <v>684</v>
      </c>
    </row>
    <row r="22" customFormat="false" ht="15" hidden="false" customHeight="false" outlineLevel="0" collapsed="false">
      <c r="A22" s="13" t="s">
        <v>685</v>
      </c>
      <c r="B22" s="14" t="s">
        <v>686</v>
      </c>
    </row>
    <row r="24" customFormat="false" ht="15" hidden="false" customHeight="false" outlineLevel="0" collapsed="false">
      <c r="A24" s="17" t="s">
        <v>687</v>
      </c>
      <c r="B24" s="14"/>
    </row>
    <row r="25" customFormat="false" ht="35.05" hidden="false" customHeight="false" outlineLevel="0" collapsed="false">
      <c r="A25" s="13"/>
      <c r="B25" s="14" t="s">
        <v>688</v>
      </c>
    </row>
    <row r="26" customFormat="false" ht="35.05" hidden="false" customHeight="false" outlineLevel="0" collapsed="false">
      <c r="A26" s="13"/>
      <c r="B26" s="14" t="s">
        <v>689</v>
      </c>
    </row>
  </sheetData>
  <mergeCells count="1">
    <mergeCell ref="A1:B1"/>
  </mergeCells>
  <hyperlinks>
    <hyperlink ref="B6" r:id="rId1" display="https://wa.me/5493516521368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2026-10-17T05:54:48Z</dcterms:created>
  <dc:creator>openpyxl</dc:creator>
  <dc:description/>
  <dc:language>en-US</dc:language>
  <cp:lastModifiedBy/>
  <dcterms:modified xsi:type="dcterms:W3CDTF">2026-10-17T05:54:48Z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